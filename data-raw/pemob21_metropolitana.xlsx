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.junior\Desktop\"/>
    </mc:Choice>
  </mc:AlternateContent>
  <xr:revisionPtr revIDLastSave="0" documentId="13_ncr:1_{E40F751E-B4BC-485B-B647-350691CB2C7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bando de dados" sheetId="1" r:id="rId1"/>
  </sheets>
  <definedNames>
    <definedName name="_xlnm._FilterDatabase" localSheetId="0" hidden="1">'bando de dados'!$A$2:$MM$15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M10" i="1" l="1"/>
  <c r="DG10" i="1"/>
  <c r="U3" i="1" l="1"/>
  <c r="GM13" i="1"/>
  <c r="GL13" i="1"/>
  <c r="GK13" i="1"/>
  <c r="GJ13" i="1"/>
  <c r="GI13" i="1"/>
  <c r="GH13" i="1"/>
  <c r="DJ13" i="1"/>
  <c r="DF13" i="1"/>
  <c r="AZ13" i="1"/>
  <c r="AY13" i="1"/>
  <c r="AX13" i="1"/>
  <c r="AW13" i="1"/>
  <c r="AG13" i="1"/>
  <c r="AC13" i="1"/>
  <c r="AB13" i="1"/>
  <c r="T13" i="1"/>
  <c r="K13" i="1"/>
  <c r="J13" i="1"/>
  <c r="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Bernadro Granville de Paula Cople</author>
  </authors>
  <commentList>
    <comment ref="AJ10" authorId="0" shapeId="0" xr:uid="{F1B1ADC9-C2DB-4F25-9731-31C6BD44EF3B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A RM presta serviço de VLT, porém este modo é de competência do município do Rio de Janeiro.</t>
        </r>
      </text>
    </comment>
    <comment ref="AP10" authorId="0" shapeId="0" xr:uid="{B405A44F-B12A-4097-9E38-CC59377A95A7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A RM presta serviço de VLT, porém este modo é de competência do município do Rio de Janeiro.</t>
        </r>
      </text>
    </comment>
    <comment ref="BY10" authorId="0" shapeId="0" xr:uid="{91AAD386-2A03-4600-AF6B-97BDC7F6BF47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Informação corrigida.</t>
        </r>
      </text>
    </comment>
    <comment ref="CE10" authorId="0" shapeId="0" xr:uid="{524FEF2E-D18A-411C-A094-BE3B8F18B4EB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Informação corrigida.</t>
        </r>
      </text>
    </comment>
    <comment ref="DC10" authorId="0" shapeId="0" xr:uid="{8E2F7C0C-896A-4363-A51F-0F396E667067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Valor confirmado.</t>
        </r>
      </text>
    </comment>
    <comment ref="DD10" authorId="0" shapeId="0" xr:uid="{2F28F303-32B2-4FCB-9939-E2D7BC39C43B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Valor confirmado.</t>
        </r>
      </text>
    </comment>
    <comment ref="DE10" authorId="0" shapeId="0" xr:uid="{7A5E2DA2-68B4-4B65-B501-F2DB22E123DD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Valor confirmado.</t>
        </r>
      </text>
    </comment>
    <comment ref="DF10" authorId="0" shapeId="0" xr:uid="{1DD09887-9847-47A1-B9FF-07AA354B0C7A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Valor confirmado.</t>
        </r>
      </text>
    </comment>
    <comment ref="DG10" authorId="0" shapeId="0" xr:uid="{CA45A1F9-E668-4E0A-B986-06E2F8717898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Soma da receita tarifária do MetrôRio (Linhas 1 e 2) e do Consórcio Rio Barra (Linha 4).
</t>
        </r>
      </text>
    </comment>
    <comment ref="GB10" authorId="0" shapeId="0" xr:uid="{DF1F73FE-DD1A-46B4-97E1-A6FC0D1DEDCB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Valor referente às viagens nas linhas intermunicipais
</t>
        </r>
      </text>
    </comment>
    <comment ref="GH10" authorId="0" shapeId="0" xr:uid="{D1CB8669-5BCC-4DFA-A641-1C222941BC4C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Entre pagantes e gratuitos.</t>
        </r>
      </text>
    </comment>
    <comment ref="GJ10" authorId="0" shapeId="0" xr:uid="{8AF27C56-1EE2-4A41-AA64-E5539B140E1B}">
      <text>
        <r>
          <rPr>
            <b/>
            <sz val="9"/>
            <color indexed="81"/>
            <rFont val="Segoe UI"/>
            <charset val="1"/>
          </rPr>
          <t>Bernadro Granville de Paula Cople:</t>
        </r>
        <r>
          <rPr>
            <sz val="9"/>
            <color indexed="81"/>
            <rFont val="Segoe UI"/>
            <charset val="1"/>
          </rPr>
          <t xml:space="preserve">
Referente à rede pública de ensino (federal, estadual e municipal) na RMRJ. Os estudantes da rede privada e de universidades não têm como ser mensurados. </t>
        </r>
      </text>
    </comment>
  </commentList>
</comments>
</file>

<file path=xl/sharedStrings.xml><?xml version="1.0" encoding="utf-8"?>
<sst xmlns="http://schemas.openxmlformats.org/spreadsheetml/2006/main" count="4434" uniqueCount="874">
  <si>
    <t>Quais os serviços de transporte público urbano o Governo do Estado é responsável pela gestão, seja por operação direta ou por delegação, na Região Metropolitana ou Aglomeração Urbana?</t>
  </si>
  <si>
    <t>Qual o número total de terminais rodoviários na Região Metropolitana ou Aglomeração Urbana sob gestão do Governo do Estado?</t>
  </si>
  <si>
    <t>Qual o número total de terminais rodoviários acessíveis com rampas, plataformas de embarque em nível sob gestão do Governo do Estado na Região Metropolitana ou Aglomeração Urbana?</t>
  </si>
  <si>
    <t>Qual o número total de terminais rodoviários acessíveis com informações para pessoas com deficiência visual sob gestão do Governo do Estado na Região Metropolitana ou Aglomeração Urbana?</t>
  </si>
  <si>
    <t>Qual o número total de estações metroferroviárias na Região Metropolitana ou Aglomeração Urbana sob gestão do Governo do Estado?</t>
  </si>
  <si>
    <t>Qual o número total de estações metroferroviárias acessíveis com rampas, plataformas de embarque em nível sob gestão do Governo do Estado na Região Metropolitana ou Aglomeração Urbana?</t>
  </si>
  <si>
    <t>Qual o número total de estações metroferroviárias acessíveis com informações para pessoas com deficiência visual sob gestão do Governo do Estado na Região Metropolitana ou Aglomeração Urbana?</t>
  </si>
  <si>
    <t>Os locais georreferenciados dos terminais rodoviários e estações metroferroviárias de transporte, ofertados pelo poder público estadual, estão disponíveis na internet?</t>
  </si>
  <si>
    <t>Em qual website é possível obter os pontos de embarque e desembarque georreferenciados?</t>
  </si>
  <si>
    <t>Qual a frota de veículos operacionais de ônibus na Região Metropolitana ou Aglomeração Urbana?</t>
  </si>
  <si>
    <t>Qual a capacidade média da frota de ônibus operacionais na Região Metropolitana ou Aglomeração Urbana?</t>
  </si>
  <si>
    <t>Qual o número de ônibus operacionais de piso baixo na Região Metropolitana ou Aglomeração Urbana?</t>
  </si>
  <si>
    <t>Qual a capacidade média da frota de ônibus com piso baixo na Região Metropolitana ou Aglomeração Urbana?</t>
  </si>
  <si>
    <t>Qual o número de ônibus operacionais com plataforma elevatória na Região Metropolitana ou Aglomeração Urbana?</t>
  </si>
  <si>
    <t>Qual a capacidade média da frota de ônibus com plataforma elevatória na Região Metropolitana ou Aglomeração Urbana?</t>
  </si>
  <si>
    <t>Qual a frota de veículos operacionais de metrô (composição) na Região Metropolitana ou Aglomeração Urbana?</t>
  </si>
  <si>
    <t>Qual a capacidade média de um veículo de metrô (composição) na Região Metropolitana ou Aglomeração Urbana?</t>
  </si>
  <si>
    <t>Qual a frota de veículos operacionais de trem (composição) na Região Metropolitana ou Aglomeração Urbana?</t>
  </si>
  <si>
    <t>Qual a capacidade média de um veículo de trem (composição) na Região Metropolitana ou Aglomeração Urbna?</t>
  </si>
  <si>
    <t>Qual a frota de barcos operacionais na Região Metropolitana ou Aglomeração Urbana?</t>
  </si>
  <si>
    <t>Qual a capacidade média da frota de barco na Região Metropolitana ou Aglomeração Urbana?</t>
  </si>
  <si>
    <t>Qual a frota de veículos operacionais de VLT (composição) na Região Metropolitana ou Aglomeração Urbana?</t>
  </si>
  <si>
    <t>Qual a capacidade média de um veículo de VLT (composição) na Região Metropolitana ou Aglomeração Urbana?</t>
  </si>
  <si>
    <t>Qual a frota de veículos operacionais de monotrilho (composição) na Região Metropolitana ou Aglomeração Urbana?</t>
  </si>
  <si>
    <t>Qual a capacidade média de um veículo de monotrilho (composição) na Região Metropolitana ou Aglomeração Urbana?</t>
  </si>
  <si>
    <t>Qual a frota de veículos operacionais de aeromóvel (composição) na Região Metropolitana ou Aglomeração Urbana?</t>
  </si>
  <si>
    <t>Qual a capacidade média de um aeromóvel (composição) na Região Metropolitana ou Aglomeração Urbana?</t>
  </si>
  <si>
    <t>Qual a quilometragem percorrida no ano de 2020 pela frota de ônibus sob gestão do Governo do Estado na Região Metropolitana ou Aglomeração Urbana?</t>
  </si>
  <si>
    <t>Qual a quilometragem percorrida no ano de 2020 pela frota de metrô sob gestão do Governo do Estado na Região Metropolitana ou Aglomeração Urbana?</t>
  </si>
  <si>
    <t>Qual a quilometragem percorrida no ano de 2020 pela frota de trem sob gestão do Governo do Estado na Região Metropolitana ou Aglomeração Urbana?</t>
  </si>
  <si>
    <t>Qual a quilometragem percorrida no ano de 2020 pela frota de barco sob gestão do Governo do Estado na Região Metropolitana ou Aglomeração Urbana?</t>
  </si>
  <si>
    <t>Qual a quilometragem percorrida no ano de 2020 pela frota de VLT sob gestão do Governo do Estado na Região Metropolitana ou Aglomeração Urbana?</t>
  </si>
  <si>
    <t>Qual a quilometragem percorrida no ano de 2020 pela frota de monotrilho sob gestão do Governo do Estado na Região Metropolitana ou Aglomeração Urbana?</t>
  </si>
  <si>
    <t>Qual a quilometragem percorrida no ano de 2020 pela frota de aeromóvel sob gestão do Governo do Estado na Região Metropolitana ou Aglomeração Urbana?</t>
  </si>
  <si>
    <t>Qual a idade média da frota do serviço de transporte por ônibus na Região Metropolitana ou Aglomeração Urbana? (em anos)</t>
  </si>
  <si>
    <t>Qual a idade média da frota do serviço de transporte por metrô na Região Metropolitana ou Aglomeração Urbana? (em anos)</t>
  </si>
  <si>
    <t>Qual a idade média da frota do serviço de transporte por trem na Região Metropolitana ou Aglomeração Urbana? (em anos)</t>
  </si>
  <si>
    <t>Qual a idade média da frota do serviço de transporte por VLT na Região Metropolitana ou Aglomeração Urbana? (em anos)</t>
  </si>
  <si>
    <t>Qual a idade média da frota do serviço de transporte por monotrilho na Região Metropolitana ou Aglomeração Urbana? (em anos)</t>
  </si>
  <si>
    <t>Qual a idade média da frota do serviço de transporte por aeromóvel na Região Metropolitana ou Aglomeração Urbana? (em anos)</t>
  </si>
  <si>
    <t>Qual o número de terminais rodoviários com informações aos usuários sobre itinerários sob gestão do Governo do Estado na Região Metropolitana ou Aglomeração Urbana?</t>
  </si>
  <si>
    <t>Qual o número de terminais rodoviários com informações aos usuários sobre horários sob gestão do Governo do Estado na Região Metropolitana ou Aglomeração Urbana?</t>
  </si>
  <si>
    <t>Qual o número de terminais rodoviários com informações aos usuários sobre tarifas dos serviços sob gestão do Governo do Estado na Região Metropolitana ou Aglomeração Urbana?</t>
  </si>
  <si>
    <t>Qual o número de terminais rodoviários com informações aos usuários sobre formas de integração com outros modos de transporte sob gestão do Governo do Estado na Região Metropolitana ou Aglomeração Urbana?</t>
  </si>
  <si>
    <t>Qual o número de estações metroferroviárias com informações aos usuários sobre itinerários sob gestão do Governo do Estado na Região Metropolitana ou Aglomeração Urbana?</t>
  </si>
  <si>
    <t>Qual o número de estações metroferroviárias com informações aos usuários sobre horários sob gestão do Governo do Estado na Região Metropolitana ou Aglomeração Urbana?</t>
  </si>
  <si>
    <t>Qual o número de estações metroferroviárias com informações aos usuários sobre tarifas dos serviços sob gestão do Governo do Estado na Região Metropolitana ou Aglomeração Urbana?</t>
  </si>
  <si>
    <t>Qual o número de estações metroferroviárias com informações aos usuários sobre formas de integração com outros modos de transporte sob gestão do Governo do Estado na Região Metropolitana ou Aglomeração Urbana?</t>
  </si>
  <si>
    <t>O Governo do Estado realiza pesquisa de satisfação dos usuários na Região Metropolitana ou Aglomeração Urbana?</t>
  </si>
  <si>
    <t>Ano de realização da pesquisa:</t>
  </si>
  <si>
    <t>Em qual website é possível obter a pesquisa de satisfação dos usuários em formato digital?</t>
  </si>
  <si>
    <t>O Governo do Estado possui informações sobre pontualidade e regularidade na prestação do serviço de transporte por ônibus?</t>
  </si>
  <si>
    <t>Qual a porcentagem de viagens por ônibus foram realizadas dentro do horário programado em 2020? (%)</t>
  </si>
  <si>
    <t>Qual a porcentagem de viagens por ônibus não foram completadas em 2020? (%)</t>
  </si>
  <si>
    <t>O Governo do Estado possui informações sobre pontualidade e regularidade na prestação do serviço de transporte por metrô?</t>
  </si>
  <si>
    <t>Qual a porcentagem de viagens por metrô foram realizadas dentro do horário programado em 2020? (%)</t>
  </si>
  <si>
    <t>Qual o percentual de viagens por metrô não foram completadas em 2020? (%)</t>
  </si>
  <si>
    <t>O Governo do Estado possui informações sobre pontualidade e regularidade na prestação do serviço de transporte por trem?</t>
  </si>
  <si>
    <t>Qual a porcentagem de viagens por trem foram realizadas dentro do horário programado em 2020? (%)</t>
  </si>
  <si>
    <t>Qual o percentual de viagens por trem não foram completadas em 2020? (%)</t>
  </si>
  <si>
    <t>O Governo do Estado possui informações sobre pontualidade e regularidade na prestação do serviço de transporte por barco?</t>
  </si>
  <si>
    <t>Qual a porcentagem de viagens por barco foram realizadas dentro do horário programado em 2020? (%)</t>
  </si>
  <si>
    <t>Qual o percentual de viagens por barco não foram completadas completadas em 2020? (%)</t>
  </si>
  <si>
    <t>O Governo do Estado possui informações sobre pontualidade e regularidade na prestação do serviço de transporte por VLT?</t>
  </si>
  <si>
    <t>Qual a porcentagem de viagens por VLT foram realizadas dentro do horário programado em 2020? (%)</t>
  </si>
  <si>
    <t>Qual o percentual de viagens por VLT não foram completadas em 2020? (%)</t>
  </si>
  <si>
    <t>O Governo do Estado possui informações sobre pontualidade e regularidade na prestação do serviço de transporte por aeromóvel?</t>
  </si>
  <si>
    <t>Qual a porcentagem de viagens por Monotrilho foram realizadas dentro do horário programado em 2020? (%)</t>
  </si>
  <si>
    <t>Qual o percentual de viagens por monotrilho não foram completadas em 2020? (%)</t>
  </si>
  <si>
    <t>O Governo do Estado possui informações sobre pontualidade e regularidade na prestação do serviço de transporte por monotrilho?</t>
  </si>
  <si>
    <t>Qual a porcentagem de viagens por aeromóvel foram realizadas dentro do horário programado em 2020? (%)</t>
  </si>
  <si>
    <t>Qual o percentual de viagens por aeromóvel não foram completadas em 2020? (%)</t>
  </si>
  <si>
    <t>No caso do transporte público intermunicipal por ônibus, qual o maior fluxo de deslocamento intermunicipal na Região Metropolitana ou Aglomeração Urbana?</t>
  </si>
  <si>
    <t>Qual o valor da tarifa predominante no deslocamento intermunicipal de maior fluxo da Região Metropolitana ou Aglomeração Urbana, considerando o centro da cidade origem até o centro da cidade núcleo?</t>
  </si>
  <si>
    <t>Qual o valor anterior da tarifa predominante no maior fluxo de deslocamento intermunicipal da Região Metropolitana ou Aglomeração Urbana?</t>
  </si>
  <si>
    <t>No caso do transporte público intermunicipal por ônibus, qual o segundo maior fluxo de deslocamento intermunicipal na Região Metropolitana ou Aglomeração Urbana?</t>
  </si>
  <si>
    <t>Qual o valor da tarifa predominante no segundo maior fluxo de deslocamento intermunicipal da Região Metropolitana ou Aglomeração Urbana?</t>
  </si>
  <si>
    <t>Qual o valor anterior da tarifa predominante no segundo maior fluxo de deslocamento intermunicipal da Região Metropolitana ou Aglomeração Urbana?</t>
  </si>
  <si>
    <t>Qual o terceiro maior fluxo de deslocamento intermunicipal no transporte público intermunicipal por ônibus da Região Metropolitana ou Aglomeração Urbana?</t>
  </si>
  <si>
    <t>Qual o valor da tarifa predominante no terceiro maior fluxo de deslocamento intermunicipal da Região Metropolitana ou Aglomeração Urbana?</t>
  </si>
  <si>
    <t>Qual o valor anterior da tarifa predominante no terceiro maior fluxo de deslocamento intermunicipal da Região Metropolitana ou Aglomeração Urbana?</t>
  </si>
  <si>
    <t>Qual a data do último reajuste no transporte público intermunicipal por ônibus na Região Metropolitana ou Aglomeração Urbana?</t>
  </si>
  <si>
    <t>Qual o valor da tarifa predominante (pública) no transporte por metrô na Região Metropolitana ou Aglomeração Urbana?</t>
  </si>
  <si>
    <t>Qual o valor anterior da tarifa predominante no transporte por metrô na Região Metropolitana ou Aglomeração Urbana?</t>
  </si>
  <si>
    <t>Qual a data do último reajuste no transporte por metrô na Região Metropolitana ou Aglomeração Urbana?</t>
  </si>
  <si>
    <t>Qual o valor da tarifa predominante (pública) no transporte por trem na Região Metropolitana ou Aglomeração Urbana?</t>
  </si>
  <si>
    <t>Qual o valor anterior da tarifa predominante no transporte por trem na Região Metropolitana ou Aglomeração Urbana?</t>
  </si>
  <si>
    <t>Qual a data do último reajuste no transporte por trem na Região Metropolitana ou Aglomeração Urbana?</t>
  </si>
  <si>
    <t>Qual o valor da tarifa predominante (pública) no transporte por barco na Região Metropolitana ou Aglomeração Urbana?</t>
  </si>
  <si>
    <t>Qual o valor anterior da tarifa predominante no transporte por barco na Região Metropolitana ou Aglomeração Urbana?</t>
  </si>
  <si>
    <t>Qual a data do último reajuste no transporte por barco na Região Metropolitana ou Aglomeração Urbana?</t>
  </si>
  <si>
    <t>Qual o valor da tarifa predominante (pública) no transporte por VLT na Região Metropolitana ou Aglomeração Urbana?</t>
  </si>
  <si>
    <t>Qual o valor anterior da tarifa predominante no transporte por VLT na Região Metropolitana ou Aglomeração Urbana?</t>
  </si>
  <si>
    <t>Qual a data do último reajuste no transporte por VLT na Região Metropolitana ou Aglomeração Urbana?</t>
  </si>
  <si>
    <t>Qual o valor da tarifa predominante (pública) no transporte por Aeromóvel na Região Metropolitana ou Aglomeração Urbana?</t>
  </si>
  <si>
    <t>Qual o valor anterior da tarifa predominante no transporte por Aeromóvel na Região Metropolitana ou Aglomeração Urbana?</t>
  </si>
  <si>
    <t>Qual a data do último reajuste no transporte por Aeromóvel na Região Metropolitana ou Aglomeração Urbana?</t>
  </si>
  <si>
    <t>Qual o valor da tarifa predominante (pública) no transporte por Monotrilho na Região Metropolitana ou Aglomeração Urbana?</t>
  </si>
  <si>
    <t>Qual o valor anterior da tarifa predominante no transporte por Monotrilho na Região Metropolitana ou Aglomeração Urbana?</t>
  </si>
  <si>
    <t>Qual a data do último reajuste no transporte por Monotrilho na Região Metropolitana ou Aglomeração Urbana?</t>
  </si>
  <si>
    <t>O sistema de transporte público metropolitano possui integração tarifária com outros sistemas de mobilidade urbana municipais?</t>
  </si>
  <si>
    <t>Quais são os tipos de integração tarifária existente?</t>
  </si>
  <si>
    <t>Qual o valor da receita tarifária anual por ônibus arrecadado em 2020?</t>
  </si>
  <si>
    <t>Se houver receita extratarifária, qual o valor de subsídio associado a passageiros com benefícios tarifários utilizado no sistema por ônibus em 2020?</t>
  </si>
  <si>
    <t>Se houver receita extratarifária, qual o valor arrecadado com subsídio direto ao sistema (subvenção) no sistema por ônibus em 2020?</t>
  </si>
  <si>
    <t>Se houver receita extratarifária, qual o valor arrecadado com publicidade em abrigos, terminais e veículos no sistema por ônibus em 2020?</t>
  </si>
  <si>
    <t>Qual o valor da receita tarifária anual por metrô arrecadado em 2020?</t>
  </si>
  <si>
    <t>Se houver receita extratarifária, qual o valor de subsídio associado a passageiros com benefícios tarifários utilizado no sistema por metrô em 2020?</t>
  </si>
  <si>
    <t>Se houver receita extratarifária, qual o valor arrecadado com subsídio direto ao sistema (subvenção) no sistema por metrô em 2020?</t>
  </si>
  <si>
    <t>Se houver receita extratarifária, qual o valor arrecadado com publicidade em abrigos, terminais e veículos no sistema por metrô em 2020?</t>
  </si>
  <si>
    <t>Qual o valor da receita tarifária anual por trem arrecadado em 2020?</t>
  </si>
  <si>
    <t>Se houver receita extratarifária, qual o valor de subsídio associado a passageiros com benefícios tarifários utilizado no sistema por trem em 2020?</t>
  </si>
  <si>
    <t>Se houver receita extratarifária, qual o valor arrecadado com subsídio direto ao sistema (subvenção) no sistema por trem em 2020?</t>
  </si>
  <si>
    <t>Se houver receita extratarifária, qual o valor arrecadado com publicidade em abrigos, terminais e veículos no sistema por trem em 2020?</t>
  </si>
  <si>
    <t>Qual o valor da receita tarifária anual por barco arrecadado em 2020?</t>
  </si>
  <si>
    <t>Se houver receita extratarifária, qual o valor de subsídio associado a passageiros com benefícios tarifários utilizado no sistema por barco em 2020?</t>
  </si>
  <si>
    <t>Se houver receita extratarifária, qual o valor arrecadado com subsídio direto ao sistema (subvenção) no sistema por barco em 2020?</t>
  </si>
  <si>
    <t>Se houver receita extratarifária, qual o valor arrecadado com publicidade em abrigos, terminais e veículos no sistema por barco em 2020?</t>
  </si>
  <si>
    <t>Qual o valor da receita tarifária anual por VLT arrecadado em 2020?</t>
  </si>
  <si>
    <t>Se houver receita extratarifária, qual o valor de subsídio associado a passageiros com benefícios tarifários utilizado no sistema por VLT em 2020?</t>
  </si>
  <si>
    <t>Se houver receita extratarifária, qual o valor arrecadado com subsídio direto ao sistema (subvenção) no sistema por VLT em 2020?</t>
  </si>
  <si>
    <t>Se houver receita extratarifária, qual o valor arrecadado com publicidade em abrigos, terminais e veículos no sistema por VLT em 2020?</t>
  </si>
  <si>
    <t>Qual o valor da receita tarifária anual por monotrilho arrecadado em 2020?</t>
  </si>
  <si>
    <t>Se houver receita extratarifária, qual o valor de subsídio associado a passageiros com benefícios tarifários utilizado no sistema por monotrilho em 2020?</t>
  </si>
  <si>
    <t>Se houver receita extratarifária, qual o valor arrecadado com subsídio direto ao sistema (subvenção) no sistema por monotrilho em 2020?</t>
  </si>
  <si>
    <t>Se houver receita extratarifária, qual o valor arrecadado com publicidade em abrigos, terminais e veículos no sistema por monotrilho em 2020?</t>
  </si>
  <si>
    <t>Qual o valor da receita tarifária anual por aeromóvel arrecadado em 2020?</t>
  </si>
  <si>
    <t>Se houver receita extratarifária, qual o valor de subsídio associado a passageiros com benefícios tarifários utilizado no sistema por aeromóvel em 2020?</t>
  </si>
  <si>
    <t>Se houver receita extratarifária, qual o valor arrecadado com subsídio direto ao sistema (subvenção) no sistema por aeromóvel em 2020?</t>
  </si>
  <si>
    <t>Se houver receita extratarifária, qual o valor arrecadado com publicidade em abrigos, terminais e veículos no sistema por aeromóvel em 2020?</t>
  </si>
  <si>
    <t>Quais os impostos incidentes no serviço de transporte por ônibus?</t>
  </si>
  <si>
    <t>Qual o percentual de ISS incidente no serviço de transporte por ônibus?</t>
  </si>
  <si>
    <t>Qual o percentual de Taxa de Gerenciamento incidente no serviço de transporte por ônibus?</t>
  </si>
  <si>
    <t>Qual o percentual de PIS incidente no serviço de transporte por ônibus?</t>
  </si>
  <si>
    <t>Qual o percentual de Cofins incidente no serviço de transporte por ônibus?</t>
  </si>
  <si>
    <t>Qual o percentual de outros impostos incidentes no serviço de transporte por ônibus?</t>
  </si>
  <si>
    <t>Quais outros impostos incidem no serviço de transporte por ônibus?</t>
  </si>
  <si>
    <t>Quais os impostos incidentes no serviço de transporte por metrô?</t>
  </si>
  <si>
    <t>Qual o percentual de ISS incidente no serviço de transporte por metrô?</t>
  </si>
  <si>
    <t>Qual o percentual de Taxa de Gerenciamento incidente no serviço de transporte por metrô?</t>
  </si>
  <si>
    <t>Qual o percentual de PIS incidente no serviço de transporte por metrô?</t>
  </si>
  <si>
    <t>Qual o percentual de Cofins incidente no serviço de transporte por metrô?</t>
  </si>
  <si>
    <t>Qual o percentual de outros impostos incidentes no serviço de transporte por metrô?</t>
  </si>
  <si>
    <t>Quais outros impostos incidem no serviço de transporte por metrô?</t>
  </si>
  <si>
    <t>Quais os impostos incidentes no serviço de transporte por trem?</t>
  </si>
  <si>
    <t>Qual o percentual de ISS incidente no serviço de transporte por trem?</t>
  </si>
  <si>
    <t>Qual o percentual de Taxa de Gerenciamento incidente no serviço de transporte por trem?</t>
  </si>
  <si>
    <t>Qual o percentual de PIS incidente no serviço de transporte por trem?</t>
  </si>
  <si>
    <t>Qual o percentual de Cofins incidente no serviço de transporte por trem?</t>
  </si>
  <si>
    <t>Qual o percentual de outros impostos incidentes no serviço de transporte por trem?</t>
  </si>
  <si>
    <t>Quais outros impostos incidem no serviço de transporte por trem?</t>
  </si>
  <si>
    <t>Quais os impostos incidentes no serviço de transporte por barco?</t>
  </si>
  <si>
    <t>Qual o percentual de ISS incidente no serviço de transporte por barco?</t>
  </si>
  <si>
    <t>Qual o percentual de Taxa de Gerenciamento incidente no serviço de transporte por barco?</t>
  </si>
  <si>
    <t>Qual o percentual de PIS incidente no serviço de transporte por barco?</t>
  </si>
  <si>
    <t>Qual o percentual de Cofins incidente no serviço de transporte por barco?</t>
  </si>
  <si>
    <t>Qual o percentual de outros impostos incidentes no serviço de transporte por barco?</t>
  </si>
  <si>
    <t>Quais outros impostos incidem no serviço de transporte por barco?</t>
  </si>
  <si>
    <t>Quais os impostos incidentes no serviço de transporte por VLT?</t>
  </si>
  <si>
    <t>Qual o percentual de ISS incidente no serviço de transporte por VLT?</t>
  </si>
  <si>
    <t>Qual o percentual de Taxa de Gerenciamento incidente no serviço de transporte por VLT?</t>
  </si>
  <si>
    <t>Qual o percentual de PIS incidente no serviço de transporte por VLT?</t>
  </si>
  <si>
    <t>Qual o percentual de Cofins incidente no serviço de transporte por VLT?</t>
  </si>
  <si>
    <t>Qual o percentual de outros impostos incidentes no serviço de transporte por VLT?</t>
  </si>
  <si>
    <t>Quais outros impostos incidem no serviço de transporte por VLT?</t>
  </si>
  <si>
    <t>Quais os impostos incidentes no serviço de transporte por monotrilho?</t>
  </si>
  <si>
    <t>Qual o percentual de ISS incidente no serviço de transporte por monotrilho?</t>
  </si>
  <si>
    <t>Qual o percentual de Taxa de Gerenciamento incidente no serviço de transporte por monotrilho?</t>
  </si>
  <si>
    <t>Qual o percentual de PIS incidente no serviço de transporte por monotrilho?</t>
  </si>
  <si>
    <t>Qual o percentual de Cofins incidente no serviço de transporte por monotrilho?</t>
  </si>
  <si>
    <t>Qual o percentual de outros impostos incidentes no serviço de transporte por monotrilho?</t>
  </si>
  <si>
    <t>Quais outros impostos incidem no serviço de transporte por monotrilho?</t>
  </si>
  <si>
    <t>Quais os impostos incidentes no serviço de transporte por aeromóvel?</t>
  </si>
  <si>
    <t>Qual o percentual de ISS incidente no serviço de transporte por aeromóvel?</t>
  </si>
  <si>
    <t>Qual o percentual de Taxa de Gerenciamento incidente no serviço de transporte por aeromóvel?</t>
  </si>
  <si>
    <t>Qual o percentual de PIS incidente no serviço de transporte por aeromóvel?</t>
  </si>
  <si>
    <t>Qual o percentual de Cofins incidente no serviço de transporte por aeromóvel?</t>
  </si>
  <si>
    <t>Qual o percentual de outros impostos incidentes no serviço de transporte por aeromóvel?</t>
  </si>
  <si>
    <t>Quais outros impostos incidem no serviço de transporte por aeromóvel?</t>
  </si>
  <si>
    <t>Qual o número de passageiros comuns transportados no serviço de transporte por ônibus em 2020?</t>
  </si>
  <si>
    <t>Qual o número de passageiros transportados com Vale Transporte no serviço de transporte por ônibus em 2020?</t>
  </si>
  <si>
    <t>Qual o número de estudantes transportados no serviço de transporte por ônibus em 2020?</t>
  </si>
  <si>
    <t>Qual o número de passageiros transportados com integração tarifária no serviço de transporte por ônibus em 2020?</t>
  </si>
  <si>
    <t>Qual o número de gratuidades no serviço de transporte por ônibus em 2020?</t>
  </si>
  <si>
    <t>Qual o número de passageiros equivalentes transportados no serviço de transporte por ônibus em 2020?</t>
  </si>
  <si>
    <t>Qual o número de passageiros comuns transportados no serviço de transporte por metrô em 2020?</t>
  </si>
  <si>
    <t>Qual o número de passageiros transportados com Vale Transporte no serviço de transporte por metrô em 2020?</t>
  </si>
  <si>
    <t>Qual o número de estudantes transportados no serviço de transporte por metrô em 2020?</t>
  </si>
  <si>
    <t>Qual o número de passageiros transportados com integração tarifária no serviço de transporte por metrô em 2020?</t>
  </si>
  <si>
    <t>Qual o número de gratuidades no serviço de transporte por metrô em 2020?</t>
  </si>
  <si>
    <t>Qual o número de passageiros equivalentes transportados no serviço de transporte por metrô em 2020?</t>
  </si>
  <si>
    <t>Qual o número de passageiros comuns transportados no serviço de transporte por trem em 2020?</t>
  </si>
  <si>
    <t>Qual o número de passageiros transportados com Vale Transporte no serviço de transporte por trem em 2020?</t>
  </si>
  <si>
    <t>Qual o número de estudantes transportados no serviço de transporte por trem em 2020?</t>
  </si>
  <si>
    <t>Qual o número de passageiros transportados com integração tarifária no serviço de transporte por trem em 2020?</t>
  </si>
  <si>
    <t>Qual o número de gratuidades no serviço de transporte por trem em 2020?</t>
  </si>
  <si>
    <t>Qual o número de passageiros equivalentes transportados no serviço de transporte por trem em 2020?</t>
  </si>
  <si>
    <t>Qual o número de passageiros comuns transportados no serviço de transporte por barco em 2020?</t>
  </si>
  <si>
    <t>Qual o número de passageiros transportados com Vale Transporte no serviço de transporte por barco em 2020?</t>
  </si>
  <si>
    <t>Qual o número de estudantes transportados no serviço de transporte por barco em 2020?</t>
  </si>
  <si>
    <t>Qual o número de passageiros transportados com integração tarifária no serviço de transporte por barco em 2020?</t>
  </si>
  <si>
    <t>Qual o número de gratuidades no serviço de transporte por barco em 2020?</t>
  </si>
  <si>
    <t>Qual o número de passageiros equivalentes transportados no serviço de transporte por barco em 2020?</t>
  </si>
  <si>
    <t>Qual o número de passageiros comuns transportados no serviço de transporte por VLT em 2020?</t>
  </si>
  <si>
    <t>Qual o número de passageiros transportados com Vale Transporte no serviço de transporte por VLT em 2020?</t>
  </si>
  <si>
    <t>Qual o número de estudantes transportados no serviço de transporte por VLT em 2020?</t>
  </si>
  <si>
    <t>Qual o número de passageiros transportados com integração tarifária no serviço de transporte por VLT em 2020?</t>
  </si>
  <si>
    <t>Qual o número de gratuidades no serviço de transporte por VLT em 2020?</t>
  </si>
  <si>
    <t>Qual o número de passageiros equivalentes transportados no serviço de transporte por VLT em 2020?</t>
  </si>
  <si>
    <t>Qual o número de passageiros comuns transportados no serviço de transporte por monotrilho em 2020?</t>
  </si>
  <si>
    <t>Qual o número de passageiros transportados com Vale Transporte no serviço de transporte por monotrilho em 2020?</t>
  </si>
  <si>
    <t>Qual o número de estudantes transportados no serviço de transporte por monotrilho em 2020?</t>
  </si>
  <si>
    <t>Qual o número de passageiros transportados com integração tarifária no serviço de transporte por monotrilho em 2020?</t>
  </si>
  <si>
    <t>Qual o número de gratuidades no serviço de transporte por monotrilho em 2020?</t>
  </si>
  <si>
    <t>Qual o número de passageiros equivalentes transportados no serviço de transporte por monotrilho em 2020?</t>
  </si>
  <si>
    <t>Qual o número de passageiros comuns transportados no serviço de transporte por aeromóvel em 2020?</t>
  </si>
  <si>
    <t>Qual o número de passageiros transportados com Vale Transporte no serviço de transporte por aeromóvel em 2020?</t>
  </si>
  <si>
    <t>Qual o número de estudantes transportados no serviço de transporte por aeromóvel em 2020?</t>
  </si>
  <si>
    <t>Qual o número de passageiros transportados com integração tarifária no serviço de transporte por aeromóvel em 2020?</t>
  </si>
  <si>
    <t>Qual o número de gratuidades no serviço de transporte por aeromóvel em 2020?</t>
  </si>
  <si>
    <t>Qual o número de passageiros equivalentes transportados no serviço de transporte por aeromóvel em 2020?</t>
  </si>
  <si>
    <t>Quais categorias de passageiros recebem desconto no valor da tarifa do serviço de transporte público na Região Metropolitana ou Aglomeração Urbana?</t>
  </si>
  <si>
    <t>Qual o percentual de desconto sobre a valor da tarifa pago pelos passageiros de baixa renda?</t>
  </si>
  <si>
    <t>Qual a renda máxima das pessoas de baixa renda que recebem desconto na no valor da tarifa? (Em salários mínimos)</t>
  </si>
  <si>
    <t>Qual o percentual de desconto sobre a valor da tarifa pago pelos passageiros com idade de 60 a 64 anos?</t>
  </si>
  <si>
    <t>Qual o percentual de desconto sobre a valor da tarifa pago pelos passageiros com deficiência e mobilidade reduzida?</t>
  </si>
  <si>
    <t>Qual o percentual de desconto sobre a valor da tarifa pago pelos estudantes da rede pública de ensino?</t>
  </si>
  <si>
    <t>Qual o percentual de desconto sobre a valor da tarifa pago pelos estudantes da rede privada de ensino?</t>
  </si>
  <si>
    <t>É utilizada planilha de custos para reajuste ou revisão da tarifa do serviço de ônibus?</t>
  </si>
  <si>
    <t>Mão de obra 1 (operação) diz respeito a qual percentual da planilha de custos do serviço por ônibus?</t>
  </si>
  <si>
    <t>Mão de obra 2 (administrativo) diz respeito a qual percentual da planilha de custos do serviço por ônibus?</t>
  </si>
  <si>
    <t>Combustíveis dizem respeito a qual percentual da planilha de custos do serviço por ônibus?</t>
  </si>
  <si>
    <t>Depreciação de veículos diz respeito a qual percentual da planilha de custos do serviço por ônibus?</t>
  </si>
  <si>
    <t>Remuneração pela prestação do serviço diz respeito a qual percentual da planilha de custos do serviço por ônibus?</t>
  </si>
  <si>
    <t>Peças, acessórios e material de rodagem dizem respeito a qual percentual da planilha de custos do serviço por ônibus?</t>
  </si>
  <si>
    <t>Impostos e tributação dizem respeito a qual percentual da planilha de custos do serviço por ônibus?</t>
  </si>
  <si>
    <t>Despesas administrativas dizem respeito a qual percentual da planilha de custos do serviço por ônibus?</t>
  </si>
  <si>
    <t>Outros insumos dizem respeito a qual percentual da planilha de custos do serviço por ônibus?</t>
  </si>
  <si>
    <t>É utilizada planilha de custos para reajuste ou revisão da tarifa do serviço de metrô?</t>
  </si>
  <si>
    <t>Mão de obra 1 (operação) diz respeito a qual percentual da planilha de custos do serviço por metrô?</t>
  </si>
  <si>
    <t>Mão de obra 2 (administrativo) diz respeito a qual percentual da planilha de custos do serviço por metrô?</t>
  </si>
  <si>
    <t>Combustíveis dizem respeito a qual percentual da planilha de custos do serviço por metrô?</t>
  </si>
  <si>
    <t>Depreciação de veículos diz respeito a qual percentual da planilha de custos do serviço por metrô?</t>
  </si>
  <si>
    <t>Remuneração pela prestação do serviço diz respeito a qual percentual da planilha de custos do serviço por metrô?</t>
  </si>
  <si>
    <t>Peças, acessórios e material de rodagem dizem respeito a qual percentual da planilha de custos do serviço por metrô?</t>
  </si>
  <si>
    <t>Impostos e tributação dizem respeito a qual percentual da planilha de custos do serviço por metrô?</t>
  </si>
  <si>
    <t>Despesas administrativas dizem respeito a qual percentual da planilha de custos do serviço por metrô?</t>
  </si>
  <si>
    <t>Energia diz respeito a qual percentual da planilha de custos do serviço por metrô?</t>
  </si>
  <si>
    <t>IPTU diz respeito a qual percentual da planilha de custos do serviço por metrô?</t>
  </si>
  <si>
    <t>Impostos dizem respeito a qual percentual da planilha de custos do serviço por metrô?</t>
  </si>
  <si>
    <t>Outros insumos dizem respeito a qual percentual da planilha de custos do serviço por metrô?</t>
  </si>
  <si>
    <t>É utilizada planilha de custos para reajuste ou revisão da tarifa do serviço de trem?</t>
  </si>
  <si>
    <t>Mão de obra 1 (operação) diz respeito a qual percentual da planilha de custos do serviço por trem?</t>
  </si>
  <si>
    <t>Mão de obra 2 (administrativo) diz respeito a qual percentual da planilha de custos do serviço por trem?</t>
  </si>
  <si>
    <t>Combustíveis dizem respeito a qual percentual da planilha de custos do serviço por trem?</t>
  </si>
  <si>
    <t>Depreciação de veículos diz respeito a qual percentual da planilha de custos do serviço por trem?</t>
  </si>
  <si>
    <t>Remuneração pela prestação do serviço diz respeito a qual percentual da planilha de custos do serviço por trem?</t>
  </si>
  <si>
    <t>Peças, acessórios e material de rodagem dizem respeito a qual percentual da planilha de custos do serviço por trem?</t>
  </si>
  <si>
    <t>Impostos e tributação dizem respeito a qual percentual da planilha de custos do serviço por trem?</t>
  </si>
  <si>
    <t>Despesas administrativas dizem respeito a qual percentual da planilha de custos do serviço por trem?</t>
  </si>
  <si>
    <t>Energia diz respeito a qual percentual da planilha de custos do serviço por trem?</t>
  </si>
  <si>
    <t>IPTU diz respeito a qual percentual da planilha de custos do serviço por trem?</t>
  </si>
  <si>
    <t>Impostos dizem respeito a qual percentual da planilha de custos do serviço por trem?</t>
  </si>
  <si>
    <t>Outros insumos dizem respeito a qual percentual da planilha de custos do serviço por trem?</t>
  </si>
  <si>
    <t>É utilizada planilha de custos para reajuste ou revisão da tarifa do serviço de barco?</t>
  </si>
  <si>
    <t>Mão de obra 1 (operação) diz respeito a qual percentual da planilha de custos do serviço por barco?</t>
  </si>
  <si>
    <t>Mão de obra 2 (administrativo) diz respeito a qual percentual da planilha de custos do serviço por barco?</t>
  </si>
  <si>
    <t>Combustíveis dizem respeito a qual percentual da planilha de custos do serviço por barco?</t>
  </si>
  <si>
    <t>Depreciação de veículos diz respeito a qual percentual da planilha de custos do serviço por barco?</t>
  </si>
  <si>
    <t>Remuneração pela prestação do serviço diz respeito a qual percentual da planilha de custos do serviço por barco?</t>
  </si>
  <si>
    <t>Peças, acessórios e material de rodagem dizem respeito a qual percentual da planilha de custos do serviço por barco?</t>
  </si>
  <si>
    <t>Impostos e tributação dizem respeito a qual percentual da planilha de custos do serviço por barco?</t>
  </si>
  <si>
    <t>Despesas administrativas dizem respeito a qual percentual da planilha de custos do serviço por barco?</t>
  </si>
  <si>
    <t>Outros insumos dizem respeito a qual percentual da planilha de custos do serviço por barco?</t>
  </si>
  <si>
    <t>É utilizada planilha de custos para reajuste ou revisão da tarifa do serviço de VLT?</t>
  </si>
  <si>
    <t>Mão de obra 1 (operação) diz respeito a qual percentual da planilha de custos do serviço por VLT?</t>
  </si>
  <si>
    <t>Mão de obra 2 (administrativo) diz respeito a qual percentual da planilha de custos do serviço por VLT?</t>
  </si>
  <si>
    <t>Combustíveis dizem respeito a qual percentual da planilha de custos do serviço por VLT?</t>
  </si>
  <si>
    <t>Depreciação de veículos diz respeito a qual percentual da planilha de custos do serviço por VLT?</t>
  </si>
  <si>
    <t>Remuneração pela prestação do serviço diz respeito a qual percentual da planilha de custos do serviço por VLT?</t>
  </si>
  <si>
    <t>Peças, acessórios e material de rodagem dizem respeito a qual percentual da planilha de custos do serviço por VLT?</t>
  </si>
  <si>
    <t>Impostos e tributação dizem respeito a qual percentual da planilha de custos do serviço por VLT?</t>
  </si>
  <si>
    <t>Despesas administrativas dizem respeito a qual percentual da planilha de custos do serviço por VLT?</t>
  </si>
  <si>
    <t>Energia diz respeito a qual percentual da planilha de custos do serviço por VLT?</t>
  </si>
  <si>
    <t>IPTU diz respeito a qual percentual da planilha de custos do serviço por VLT?</t>
  </si>
  <si>
    <t>Impostos dizem respeito a qual percentual da planilha de custos do serviço por VLT?</t>
  </si>
  <si>
    <t>Outros insumos dizem respeito a qual percentual da planilha de custos do serviço por VLT?</t>
  </si>
  <si>
    <t>É utilizada planilha de custos para reajuste ou revisão da tarifa do serviço de monotrilho?</t>
  </si>
  <si>
    <t>Mão de obra 1 (operação) diz respeito a qual percentual da planilha de custos do serviço por monotrilho?</t>
  </si>
  <si>
    <t>Mão de obra 2 (administrativo) diz respeito a qual percentual da planilha de custos do serviço por monotrilho?</t>
  </si>
  <si>
    <t>Combustíveis dizem respeito a qual percentual da planilha de custos do serviço por monotrilho?</t>
  </si>
  <si>
    <t>Depreciação de veículos diz respeito a qual percentual da planilha de custos do serviço por monotrilho?</t>
  </si>
  <si>
    <t>Remuneração pela prestação do serviço diz respeito a qual percentual da planilha de custos do serviço por monotrilho?</t>
  </si>
  <si>
    <t>Peças, acessórios e material de rodagem dizem respeito a qual percentual da planilha de custos do serviço por monotrilho?</t>
  </si>
  <si>
    <t>Impostos e tributação dizem respeito a qual percentual da planilha de custos do serviço por monotrilho?</t>
  </si>
  <si>
    <t>Despesas administrativas dizem respeito a qual percentual da planilha de custos do serviço por monotrilho?</t>
  </si>
  <si>
    <t>Energia diz respeito a qual percentual da planilha de custos do serviço por monotrilho?</t>
  </si>
  <si>
    <t>IPTU diz respeito a qual percentual da planilha de custos do serviço por monotrilho?</t>
  </si>
  <si>
    <t>Impostos dizem respeito a qual percentual da planilha de custos do serviço por monotrilho?</t>
  </si>
  <si>
    <t>Outros insumos dizem respeito a qual percentual da planilha de custos do serviço por monotrilho?</t>
  </si>
  <si>
    <t>É utilizada planilha de custos para reajuste ou revisão da tarifa do serviço de aeromóvel?</t>
  </si>
  <si>
    <t>Mão de obra 1 (operação) diz respeito a qual percentual da planilha de custos do serviço por aeromóvel?</t>
  </si>
  <si>
    <t>Mão de obra 2 (administrativo) diz respeito a qual percentual da planilha de custos do serviço por aeromóvel?</t>
  </si>
  <si>
    <t>Combustíveis dizem respeito a qual percentual da planilha de custos do serviço por aeromóvel?</t>
  </si>
  <si>
    <t>Depreciação de veículos diz respeito a qual percentual da planilha de custos do serviço por aeromóvel?</t>
  </si>
  <si>
    <t>Remuneração pela prestação do serviço diz respeito a qual percentual da planilha de custos do serviço por aeromóvel?</t>
  </si>
  <si>
    <t>Peças, acessórios e material de rodagem dizem respeito a qual percentual da planilha de custos do serviço por aeromóvel?</t>
  </si>
  <si>
    <t>Impostos e tributação dizem respeito a qual percentual da planilha de custos do serviço por aeromóvel?</t>
  </si>
  <si>
    <t>Despesas administrativas dizem respeito a qual percentual da planilha de custos do serviço por aeromóvel?</t>
  </si>
  <si>
    <t>Energia diz respeito a qual percentual da planilha de custos do serviço por aeromóvel?</t>
  </si>
  <si>
    <t>IPTU diz respeito a qual percentual da planilha de custos do serviço por aeromóvel?</t>
  </si>
  <si>
    <t>Impostos dizem respeito a qual percentual da planilha de custos do serviço por aeromóvel?</t>
  </si>
  <si>
    <t>Outros insumos dizem respeito a qual percentual da planilha de custos do serviço por aeromóvel?</t>
  </si>
  <si>
    <t>A Região Metropolitana ou Aglomeração Urbana está contemplada em algum Plano de Mobilidade Urbana de Região Metropolitana ou Aglomeração Urbana?</t>
  </si>
  <si>
    <t>Em qual website é possível obter o Plano de Mobilidade Urbana de Região Metropolitana ou Aglomeração Urbana em formato digital?</t>
  </si>
  <si>
    <t>A Região Metropolitana ou Aglomeração Urbana está contemplada em algum Plano de Desenvolvimento Urbano Integrado (PDUI) (Lei Federal nº 13.089/2015 - Estatuto da Metrópole)?</t>
  </si>
  <si>
    <t>Em qual website é possível obter o Plano de Desenvolvimento Urbano Integrado (PDUI) em formato digital?</t>
  </si>
  <si>
    <t>O Governo do Estado já realizou pesquisa Origem-Destino (O/D) na Região Metropolitana ou Aglomeração Urbana?</t>
  </si>
  <si>
    <t>Qual o ano de realização da última pesquisa O/D?</t>
  </si>
  <si>
    <t>Qual a periodicidade de realização da pesquisa?</t>
  </si>
  <si>
    <t>Em qual website é possível obter a Pesquisa Origem-Destino em formato digital?</t>
  </si>
  <si>
    <t>Considerando todos os modos de transporte e as pesquisa O/D realizadas, qual o número médio de viagens diárias?</t>
  </si>
  <si>
    <t>Considerando todos os modos de transporte e as pesquisas O/D realizadas, qual a distância média das viagens? (Em km)</t>
  </si>
  <si>
    <t>Considerando todos os modos de transportes e as pesquisas O/D realizadas, qual o tempo médio das viagens realizadas? (Em minutos)</t>
  </si>
  <si>
    <t>Considerando a divisão modal identificada pelas pesquisas O/D realizadas, qual o percentual de viagens realizadas a pé? (Em %)</t>
  </si>
  <si>
    <t>Considerando a divisão modal identificada pelas pesquisas O/D realizadas, qual o percentual de viagens realizadas de bicicleta? (Em %)</t>
  </si>
  <si>
    <t>Considerando a divisão modal identificada pelas pesquisas O/D realizadas, qual o percentual de viagens realizadas por transporte coletivo? (Em %)</t>
  </si>
  <si>
    <t>Considerando a divisão modal identificada pelas pesquisas O/D realizadas, qual o percentual de viagens realizadas por transporte individual motorizado (automóvel)? (Em %)</t>
  </si>
  <si>
    <t>Considerando a divisão modal identificada pelas pesquisas O/D realizadas, qual o percentual de viagens realizadas por transporte individual motorizado (moto)? (Em %)</t>
  </si>
  <si>
    <t>Considerando a divisão modal identificada pelas pesquisas O/D realizadas, qual o percentual de viagens realizadas por transporte individual remunerado (táxi, aplicativos)? (Em %)</t>
  </si>
  <si>
    <t>Considerando a divisão modal identificada pelas pesquisas O/D realizadas, qual o percentual de viagens realizadas por outros modos de transporte? (Em %)</t>
  </si>
  <si>
    <t>Na composição da frota de transporte público coletivo, existem ônibus que utilizam tecnologia veicular ou fontes de energia alternativa?</t>
  </si>
  <si>
    <t>Qual o percentual da frota que utiliza etanol como fonte de energia?</t>
  </si>
  <si>
    <t>Qual o percentual da frota que utiliza eletricidade como fonte de energia?</t>
  </si>
  <si>
    <t>Qual o percentual da frota que utiliza gás natural como fonte de energia?</t>
  </si>
  <si>
    <t>Qual o percentual da frota que utiliza hidrogênio como fonte de energia?</t>
  </si>
  <si>
    <t>Qual o percentual da frota que utiliza biodiesel como fonte de energia?</t>
  </si>
  <si>
    <t>Qual o percentual da frota que utiliza energia híbrida (eletricidade + diesel)?</t>
  </si>
  <si>
    <t>O órgão responsável pela gestão do sistema de mobilidade urbana na Região Metropolitana ou Aglomeração Urbana caracteriza-se como:</t>
  </si>
  <si>
    <t>De que modo o serviço de transporte público coletivo regulamentado é ofertado na Região Metropolitana ou Aglomeração Urbana?</t>
  </si>
  <si>
    <t>Quais as modalidades de delegação de serviço de transporte público coletivo existe na Região Metropolitana ou Aglomeração Urbana?</t>
  </si>
  <si>
    <t>O serviço de transporte público coletivo regulamentado é licitado?</t>
  </si>
  <si>
    <t>Qual o prazo do contrato? (Em anos)</t>
  </si>
  <si>
    <t>Qual é a data de vencimento do contrato?</t>
  </si>
  <si>
    <t>Para a remuneração do operador do sistema de transporte público coletivo, quais aspectos são levados em conta?</t>
  </si>
  <si>
    <t>Quais as inovações tecnológicas presentes na mobilidade urbana da Região Metropolitana ou Aglomeração Urbana?</t>
  </si>
  <si>
    <t>Quais outras inovações tecnológicas na mobilidade urbana estão presentes na Região Metropolitana ou Aglomeração Urbana?</t>
  </si>
  <si>
    <t>1.1.1</t>
  </si>
  <si>
    <t>1.2.1.A</t>
  </si>
  <si>
    <t>1.2.1.B</t>
  </si>
  <si>
    <t>1.2.1.C</t>
  </si>
  <si>
    <t>1.2.2.A</t>
  </si>
  <si>
    <t>1.2.2.B</t>
  </si>
  <si>
    <t>1.2.2.C</t>
  </si>
  <si>
    <t>1.2.3</t>
  </si>
  <si>
    <t>1.2.3.A</t>
  </si>
  <si>
    <t>1.3.1.A</t>
  </si>
  <si>
    <t>1.3.1.B</t>
  </si>
  <si>
    <t>1.3.1.C</t>
  </si>
  <si>
    <t>1.3.1.D</t>
  </si>
  <si>
    <t>1.3.1.E</t>
  </si>
  <si>
    <t>1.3.1.F</t>
  </si>
  <si>
    <t>1.3.2.A</t>
  </si>
  <si>
    <t>1.3.2.B</t>
  </si>
  <si>
    <t>1.3.3.A</t>
  </si>
  <si>
    <t>1.3.3.B</t>
  </si>
  <si>
    <t>1.3.4.A</t>
  </si>
  <si>
    <t>1.3.4.B</t>
  </si>
  <si>
    <t>1.3.5.A</t>
  </si>
  <si>
    <t>1.3.5.B</t>
  </si>
  <si>
    <t>1.3.6.A</t>
  </si>
  <si>
    <t>1.3.6.B</t>
  </si>
  <si>
    <t>1.3.7.A</t>
  </si>
  <si>
    <t>1.3.7.B</t>
  </si>
  <si>
    <t>1.4.1</t>
  </si>
  <si>
    <t>1.4.2</t>
  </si>
  <si>
    <t>1.4.3</t>
  </si>
  <si>
    <t>1.4.4</t>
  </si>
  <si>
    <t>1.4.5</t>
  </si>
  <si>
    <t>1.4.6</t>
  </si>
  <si>
    <t>1.4.7</t>
  </si>
  <si>
    <t>2.1.1</t>
  </si>
  <si>
    <t>2.1.2</t>
  </si>
  <si>
    <t>2.1.3</t>
  </si>
  <si>
    <t>2.1.4</t>
  </si>
  <si>
    <t>2.1.5</t>
  </si>
  <si>
    <t>2.1.6</t>
  </si>
  <si>
    <t>2.2.1.A</t>
  </si>
  <si>
    <t>2.2.1.B</t>
  </si>
  <si>
    <t>2.2.1.C</t>
  </si>
  <si>
    <t>2.2.1.D</t>
  </si>
  <si>
    <t>2.2.2.A</t>
  </si>
  <si>
    <t>2.2.2.B</t>
  </si>
  <si>
    <t>2.2.2.C</t>
  </si>
  <si>
    <t>2.2.2.D</t>
  </si>
  <si>
    <t>2.3.1</t>
  </si>
  <si>
    <t>2.3.1.A</t>
  </si>
  <si>
    <t>2.3.1.B</t>
  </si>
  <si>
    <t>2.4.1</t>
  </si>
  <si>
    <t>2.4.1.A</t>
  </si>
  <si>
    <t>2.4.1.B</t>
  </si>
  <si>
    <t>2.4.2</t>
  </si>
  <si>
    <t>2.4.2.A</t>
  </si>
  <si>
    <t>2.4.2.B</t>
  </si>
  <si>
    <t>2.4.3</t>
  </si>
  <si>
    <t>2.4.3.A</t>
  </si>
  <si>
    <t>2.4.3.B</t>
  </si>
  <si>
    <t>2.4.4</t>
  </si>
  <si>
    <t>2.4.4.A</t>
  </si>
  <si>
    <t>2.4.4.B</t>
  </si>
  <si>
    <t>2.4.5</t>
  </si>
  <si>
    <t>2.4.5.A</t>
  </si>
  <si>
    <t>2.4.5.B</t>
  </si>
  <si>
    <t>2.4.6</t>
  </si>
  <si>
    <t>2.4.6.A</t>
  </si>
  <si>
    <t>2.4.6.B</t>
  </si>
  <si>
    <t>2.4.7</t>
  </si>
  <si>
    <t>2.4.7.A</t>
  </si>
  <si>
    <t>2.4.7.B</t>
  </si>
  <si>
    <t>3.1.1.A</t>
  </si>
  <si>
    <t>3.1.1.B</t>
  </si>
  <si>
    <t>3.1.1.C</t>
  </si>
  <si>
    <t>3.1.1.D</t>
  </si>
  <si>
    <t>3.1.1.E</t>
  </si>
  <si>
    <t>3.1.1.F</t>
  </si>
  <si>
    <t>3.1.1.G</t>
  </si>
  <si>
    <t>3.1.1.H</t>
  </si>
  <si>
    <t>3.1.1.I</t>
  </si>
  <si>
    <t>3.1.1.J</t>
  </si>
  <si>
    <t>3.1.2.A</t>
  </si>
  <si>
    <t>3.1.2.B</t>
  </si>
  <si>
    <t>3.1.2.C</t>
  </si>
  <si>
    <t>3.1.3.A</t>
  </si>
  <si>
    <t>3.1.3.B</t>
  </si>
  <si>
    <t>3.1.3.C</t>
  </si>
  <si>
    <t>3.1.4.A</t>
  </si>
  <si>
    <t>3.1.4.B</t>
  </si>
  <si>
    <t>3.1.4.C</t>
  </si>
  <si>
    <t>3.1.5.A</t>
  </si>
  <si>
    <t>3.1.5.B</t>
  </si>
  <si>
    <t>3.1.5.C</t>
  </si>
  <si>
    <t>3.1.6.A</t>
  </si>
  <si>
    <t>3.1.6.B</t>
  </si>
  <si>
    <t>3.1.6.C</t>
  </si>
  <si>
    <t>3.1.7.A</t>
  </si>
  <si>
    <t>3.1.7.B</t>
  </si>
  <si>
    <t>3.1.7.C</t>
  </si>
  <si>
    <t>3.1.8</t>
  </si>
  <si>
    <t>3.1.8.A</t>
  </si>
  <si>
    <t>3.2.1.A</t>
  </si>
  <si>
    <t>3.2.1.B</t>
  </si>
  <si>
    <t>3.2.1.C</t>
  </si>
  <si>
    <t>3.2.1.D</t>
  </si>
  <si>
    <t>3.2.2.A</t>
  </si>
  <si>
    <t>3.2.2.B</t>
  </si>
  <si>
    <t>3.2.2.C</t>
  </si>
  <si>
    <t>3.2.2.D</t>
  </si>
  <si>
    <t>3.2.3.A</t>
  </si>
  <si>
    <t>3.2.3.B</t>
  </si>
  <si>
    <t>3.2.3.C</t>
  </si>
  <si>
    <t>3.2.3.D</t>
  </si>
  <si>
    <t>3.2.4.A</t>
  </si>
  <si>
    <t>3.2.4.B</t>
  </si>
  <si>
    <t>3.2.4.C</t>
  </si>
  <si>
    <t>3.2.4.D</t>
  </si>
  <si>
    <t>3.2.5.A</t>
  </si>
  <si>
    <t>3.2.5.B</t>
  </si>
  <si>
    <t>3.2.5.C</t>
  </si>
  <si>
    <t>3.2.5.D</t>
  </si>
  <si>
    <t>3.2.6.A</t>
  </si>
  <si>
    <t>3.2.6.B</t>
  </si>
  <si>
    <t>3.2.6.C</t>
  </si>
  <si>
    <t>3.2.6.D</t>
  </si>
  <si>
    <t>3.2.7.A</t>
  </si>
  <si>
    <t>3.2.7.B</t>
  </si>
  <si>
    <t>3.2.7.C</t>
  </si>
  <si>
    <t>3.2.7.D</t>
  </si>
  <si>
    <t>3.3.1</t>
  </si>
  <si>
    <t>3.3.1.A</t>
  </si>
  <si>
    <t>3.3.1.B</t>
  </si>
  <si>
    <t>3.3.1.C</t>
  </si>
  <si>
    <t>3.3.1.D</t>
  </si>
  <si>
    <t>3.3.1.E</t>
  </si>
  <si>
    <t>3.3.1.F</t>
  </si>
  <si>
    <t>3.3.2</t>
  </si>
  <si>
    <t>3.3.2.A</t>
  </si>
  <si>
    <t>3.3.2.B</t>
  </si>
  <si>
    <t>3.3.2.C</t>
  </si>
  <si>
    <t>3.3.2.D</t>
  </si>
  <si>
    <t>3.3.2.E</t>
  </si>
  <si>
    <t>3.3.2.F</t>
  </si>
  <si>
    <t>3.3.3</t>
  </si>
  <si>
    <t>3.3.3.A</t>
  </si>
  <si>
    <t>3.3.3.B</t>
  </si>
  <si>
    <t>3.3.3.C</t>
  </si>
  <si>
    <t>3.3.3.D</t>
  </si>
  <si>
    <t>3.3.3.E</t>
  </si>
  <si>
    <t>3.3.3.F</t>
  </si>
  <si>
    <t>3.3.4</t>
  </si>
  <si>
    <t>3.3.4.A</t>
  </si>
  <si>
    <t>3.3.4.B</t>
  </si>
  <si>
    <t>3.3.4.C</t>
  </si>
  <si>
    <t>3.3.4.D</t>
  </si>
  <si>
    <t>3.3.4.E</t>
  </si>
  <si>
    <t>3.3.4.F</t>
  </si>
  <si>
    <t>3.3.5</t>
  </si>
  <si>
    <t>3.3.5.A</t>
  </si>
  <si>
    <t>3.3.5.B</t>
  </si>
  <si>
    <t>3.3.5.C</t>
  </si>
  <si>
    <t>3.3.5.D</t>
  </si>
  <si>
    <t>3.3.5.E</t>
  </si>
  <si>
    <t>3.3.5.F</t>
  </si>
  <si>
    <t>3.3.6</t>
  </si>
  <si>
    <t>3.3.6.A</t>
  </si>
  <si>
    <t>3.3.6.B</t>
  </si>
  <si>
    <t>3.3.6.C</t>
  </si>
  <si>
    <t>3.3.6.D</t>
  </si>
  <si>
    <t>3.3.6.E</t>
  </si>
  <si>
    <t>3.3.6.F</t>
  </si>
  <si>
    <t>3.3.7</t>
  </si>
  <si>
    <t>3.3.7.A</t>
  </si>
  <si>
    <t>3.3.7.B</t>
  </si>
  <si>
    <t>3.3.7.C</t>
  </si>
  <si>
    <t>3.3.7.D</t>
  </si>
  <si>
    <t>3.3.7.E</t>
  </si>
  <si>
    <t>3.3.7.F</t>
  </si>
  <si>
    <t>3.4.1.A</t>
  </si>
  <si>
    <t>3.4.1.B</t>
  </si>
  <si>
    <t>3.4.1.C</t>
  </si>
  <si>
    <t>3.4.1.D</t>
  </si>
  <si>
    <t>3.4.1.E</t>
  </si>
  <si>
    <t>3.4.1.F</t>
  </si>
  <si>
    <t>3.4.2.A</t>
  </si>
  <si>
    <t>3.4.2.B</t>
  </si>
  <si>
    <t>3.4.2.C</t>
  </si>
  <si>
    <t>3.4.2.D</t>
  </si>
  <si>
    <t>3.4.2.E</t>
  </si>
  <si>
    <t>3.4.2.F</t>
  </si>
  <si>
    <t>3.4.3.A</t>
  </si>
  <si>
    <t>3.4.3.B</t>
  </si>
  <si>
    <t>3.4.3.C</t>
  </si>
  <si>
    <t>3.4.3.D</t>
  </si>
  <si>
    <t>3.4.3.E</t>
  </si>
  <si>
    <t>3.4.3.F</t>
  </si>
  <si>
    <t>3.4.4.A</t>
  </si>
  <si>
    <t>3.4.4.B</t>
  </si>
  <si>
    <t>3.4.4.C</t>
  </si>
  <si>
    <t>3.4.4.D</t>
  </si>
  <si>
    <t>3.4.4.E</t>
  </si>
  <si>
    <t>3.4.4.F</t>
  </si>
  <si>
    <t>3.4.5.A</t>
  </si>
  <si>
    <t>3.4.5.B</t>
  </si>
  <si>
    <t>3.4.5.C</t>
  </si>
  <si>
    <t>3.4.5.D</t>
  </si>
  <si>
    <t>3.4.5.E</t>
  </si>
  <si>
    <t>3.4.5.F</t>
  </si>
  <si>
    <t>3.4.6.A</t>
  </si>
  <si>
    <t>3.4.6.B</t>
  </si>
  <si>
    <t>3.4.6.C</t>
  </si>
  <si>
    <t>3.4.6.D</t>
  </si>
  <si>
    <t>3.4.6.E</t>
  </si>
  <si>
    <t>3.4.6.F</t>
  </si>
  <si>
    <t>3.4.7.A</t>
  </si>
  <si>
    <t>3.4.7.B</t>
  </si>
  <si>
    <t>3.4.7.C</t>
  </si>
  <si>
    <t>3.4.7.D</t>
  </si>
  <si>
    <t>3.4.7.E</t>
  </si>
  <si>
    <t>3.4.7.F</t>
  </si>
  <si>
    <t>3.5.1</t>
  </si>
  <si>
    <t>3.5.1.A</t>
  </si>
  <si>
    <t>3.5.1.AA</t>
  </si>
  <si>
    <t>3.5.1.B</t>
  </si>
  <si>
    <t>3.5.1.C</t>
  </si>
  <si>
    <t>3.5.1.D</t>
  </si>
  <si>
    <t>3.5.1.E</t>
  </si>
  <si>
    <t>3.6.1</t>
  </si>
  <si>
    <t>3.6.1.A</t>
  </si>
  <si>
    <t>3.6.1.B</t>
  </si>
  <si>
    <t>3.6.1.C</t>
  </si>
  <si>
    <t>3.6.1.D</t>
  </si>
  <si>
    <t>3.6.1.E</t>
  </si>
  <si>
    <t>3.6.1.F</t>
  </si>
  <si>
    <t>3.6.1.G</t>
  </si>
  <si>
    <t>3.6.1.H</t>
  </si>
  <si>
    <t>3.6.1.I</t>
  </si>
  <si>
    <t>3.6.2</t>
  </si>
  <si>
    <t>3.6.2.A</t>
  </si>
  <si>
    <t>3.6.2.B</t>
  </si>
  <si>
    <t>3.6.2.C</t>
  </si>
  <si>
    <t>3.6.2.D</t>
  </si>
  <si>
    <t>3.6.2.E</t>
  </si>
  <si>
    <t>3.6.2.F</t>
  </si>
  <si>
    <t>3.6.2.G</t>
  </si>
  <si>
    <t>3.6.2.H</t>
  </si>
  <si>
    <t>3.6.2.I</t>
  </si>
  <si>
    <t>3.6.2.J</t>
  </si>
  <si>
    <t>3.6.2.K</t>
  </si>
  <si>
    <t>3.6.2.L</t>
  </si>
  <si>
    <t>3.6.3</t>
  </si>
  <si>
    <t>3.6.3.A</t>
  </si>
  <si>
    <t>3.6.3.B</t>
  </si>
  <si>
    <t>3.6.3.C</t>
  </si>
  <si>
    <t>3.6.3.D</t>
  </si>
  <si>
    <t>3.6.3.E</t>
  </si>
  <si>
    <t>3.6.3.F</t>
  </si>
  <si>
    <t>3.6.3.G</t>
  </si>
  <si>
    <t>3.6.3.H</t>
  </si>
  <si>
    <t>3.6.3.I</t>
  </si>
  <si>
    <t>3.6.3.J</t>
  </si>
  <si>
    <t>3.6.3.K</t>
  </si>
  <si>
    <t>3.6.3.L</t>
  </si>
  <si>
    <t>3.6.4</t>
  </si>
  <si>
    <t>3.6.4.A</t>
  </si>
  <si>
    <t>3.6.4.B</t>
  </si>
  <si>
    <t>3.6.4.C</t>
  </si>
  <si>
    <t>3.6.4.D</t>
  </si>
  <si>
    <t>3.6.4.E</t>
  </si>
  <si>
    <t>3.6.4.F</t>
  </si>
  <si>
    <t>3.6.4.G</t>
  </si>
  <si>
    <t>3.6.4.H</t>
  </si>
  <si>
    <t>3.6.4.I</t>
  </si>
  <si>
    <t>3.6.5</t>
  </si>
  <si>
    <t>3.6.5.A</t>
  </si>
  <si>
    <t>3.6.5.B</t>
  </si>
  <si>
    <t>3.6.5.C</t>
  </si>
  <si>
    <t>3.6.5.D</t>
  </si>
  <si>
    <t>3.6.5.E</t>
  </si>
  <si>
    <t>3.6.5.F</t>
  </si>
  <si>
    <t>3.6.5.G</t>
  </si>
  <si>
    <t>3.6.5.H</t>
  </si>
  <si>
    <t>3.6.5.I</t>
  </si>
  <si>
    <t>3.6.5.J</t>
  </si>
  <si>
    <t>3.6.5.K</t>
  </si>
  <si>
    <t>3.6.5.L</t>
  </si>
  <si>
    <t>3.6.6</t>
  </si>
  <si>
    <t>3.6.6.A</t>
  </si>
  <si>
    <t>3.6.6.B</t>
  </si>
  <si>
    <t>3.6.6.C</t>
  </si>
  <si>
    <t>3.6.6.D</t>
  </si>
  <si>
    <t>3.6.6.E</t>
  </si>
  <si>
    <t>3.6.6.F</t>
  </si>
  <si>
    <t>3.6.6.G</t>
  </si>
  <si>
    <t>3.6.6.H</t>
  </si>
  <si>
    <t>3.6.6.I</t>
  </si>
  <si>
    <t>3.6.6.J</t>
  </si>
  <si>
    <t>3.6.6.K</t>
  </si>
  <si>
    <t>3.6.6.L</t>
  </si>
  <si>
    <t>3.6.7</t>
  </si>
  <si>
    <t>3.6.7.A</t>
  </si>
  <si>
    <t>3.6.7.B</t>
  </si>
  <si>
    <t>3.6.7.C</t>
  </si>
  <si>
    <t>3.6.7.D</t>
  </si>
  <si>
    <t>3.6.7.E</t>
  </si>
  <si>
    <t>3.6.7.F</t>
  </si>
  <si>
    <t>3.6.7.G</t>
  </si>
  <si>
    <t>3.6.7.H</t>
  </si>
  <si>
    <t>3.6.7.I</t>
  </si>
  <si>
    <t>3.6.7.J</t>
  </si>
  <si>
    <t>3.6.7.K</t>
  </si>
  <si>
    <t>3.6.7.L</t>
  </si>
  <si>
    <t>4.1.1</t>
  </si>
  <si>
    <t>4.1.1.A</t>
  </si>
  <si>
    <t>4.1.2</t>
  </si>
  <si>
    <t>4.1.2.A</t>
  </si>
  <si>
    <t>4.2.1</t>
  </si>
  <si>
    <t>4.2.1.A</t>
  </si>
  <si>
    <t>4.2.1.B</t>
  </si>
  <si>
    <t>4.2.1.C</t>
  </si>
  <si>
    <t>4.2.1.D</t>
  </si>
  <si>
    <t>4.2.1.E</t>
  </si>
  <si>
    <t>4.2.1.F</t>
  </si>
  <si>
    <t>4.2.1.G</t>
  </si>
  <si>
    <t>4.2.1.H</t>
  </si>
  <si>
    <t>4.2.1.I</t>
  </si>
  <si>
    <t>4.2.1.J</t>
  </si>
  <si>
    <t>4.2.1.K</t>
  </si>
  <si>
    <t>4.2.1.L</t>
  </si>
  <si>
    <t>4.2.1.M</t>
  </si>
  <si>
    <t>5.1.1</t>
  </si>
  <si>
    <t>5.1.1.A</t>
  </si>
  <si>
    <t>5.1.1.B</t>
  </si>
  <si>
    <t>5.1.1.C</t>
  </si>
  <si>
    <t>5.1.1.D</t>
  </si>
  <si>
    <t>5.1.1.E</t>
  </si>
  <si>
    <t>5.1.1.F</t>
  </si>
  <si>
    <t>6.1.1</t>
  </si>
  <si>
    <t>7.1.1</t>
  </si>
  <si>
    <t>7.1.2</t>
  </si>
  <si>
    <t>7.2.1</t>
  </si>
  <si>
    <t>7.2.1.A</t>
  </si>
  <si>
    <t>7.2.2.B</t>
  </si>
  <si>
    <t>7.3.1</t>
  </si>
  <si>
    <t>8.1.1</t>
  </si>
  <si>
    <t>8.1.1.A</t>
  </si>
  <si>
    <t>PB</t>
  </si>
  <si>
    <t>Região Metropolitana de João Pessoa</t>
  </si>
  <si>
    <t>Barco; Ônibus metropolitano</t>
  </si>
  <si>
    <t>NA</t>
  </si>
  <si>
    <t>NR</t>
  </si>
  <si>
    <t>PE</t>
  </si>
  <si>
    <t>Ônibus metropolitano</t>
  </si>
  <si>
    <t>Sim</t>
  </si>
  <si>
    <t>Quem gerencia as viagens intermunicipais é a EPTI</t>
  </si>
  <si>
    <t>Temporal</t>
  </si>
  <si>
    <t>ISS</t>
  </si>
  <si>
    <t>Estudantes da rede privada de ensino; Pessoas com deficiência e mobilidae reduzida; Estudantes da rede pública de ensino</t>
  </si>
  <si>
    <t>https://www.pdui-rmr.pe.gov.br</t>
  </si>
  <si>
    <t>10 anos</t>
  </si>
  <si>
    <t>http://planodemobilidade.recife.pe.gov.br/node/61265</t>
  </si>
  <si>
    <t>Não</t>
  </si>
  <si>
    <t>Setor subordinado à outra secretaria</t>
  </si>
  <si>
    <t>Operação por delegação</t>
  </si>
  <si>
    <t>Concessão; Permissão</t>
  </si>
  <si>
    <t>Passageiros totais transportados; Passageiros equivalentes transportados; Custo da operação por quilômetro percorrido pela frota; Custo por veículo disponibilizado para operação; Custo da operação por hora, dia ou mês</t>
  </si>
  <si>
    <t>Centro de controle operacional; Informação em tempo real aos usuários (AVL - Automatic Vehicle Location); Monitoramento eletrônico de frotas (GPS, câmeras, sensores, transmissão por rádio, etc.); Bilhetagem eletrônica</t>
  </si>
  <si>
    <t>GO</t>
  </si>
  <si>
    <t>https://www.rmtcgoiania.com.br/linhas-e-trajetos/toda-a-rede</t>
  </si>
  <si>
    <t>Entre os municípios diretamente, isto é, os que possuem conurbação: Goiânia e Aparecida de Goiânia</t>
  </si>
  <si>
    <t>Entre os municípios diretamente conurbados: Goiânia, Aparecida de Goiânia, Goianira e Trindade.</t>
  </si>
  <si>
    <t>Abadia de Goiás, Aragoiânia, Bela Vista de Goiás, Bonfinópolis, Brazabrantes, Caldazinha, Caturaí, Goianápolis, Guapó, Hidrolândia, Inhumas, Nerópolis, Nova Veneza, Santo Antônio de Goiás e Terezópolis de Goiás.</t>
  </si>
  <si>
    <t>PIS</t>
  </si>
  <si>
    <t>Concessão</t>
  </si>
  <si>
    <t>Passageiros totais transportados; Custo da operação por quilômetro percorrido pela frota</t>
  </si>
  <si>
    <t>ES</t>
  </si>
  <si>
    <t>Região Metropolitana</t>
  </si>
  <si>
    <t>Vila Velha/Vitória</t>
  </si>
  <si>
    <t>Cariacica/Vitória</t>
  </si>
  <si>
    <t>Taxa de Gerenciamento</t>
  </si>
  <si>
    <t>Estudantes da rede pública de ensino; Pessoas com deficiência e mobilidae reduzida; Estudantes da rede privada de ensino</t>
  </si>
  <si>
    <t>planometropolitano.es.gov.br</t>
  </si>
  <si>
    <t>Sem periodicidade</t>
  </si>
  <si>
    <t>Não está disponível em website</t>
  </si>
  <si>
    <t>Secretaria de mobilidade/transporte junto a outras políticas</t>
  </si>
  <si>
    <t>Permissão; Concessão</t>
  </si>
  <si>
    <t>Custo da operação por quilômetro percorrido pela frota; Passageiros equivalentes transportados; Passageiros totais transportados</t>
  </si>
  <si>
    <t>Bilhetagem eletrônica; Centro de controle operacional; Monitoramento eletrônico de frotas (GPS, câmeras, sensores, transmissão por rádio, etc.); Informação em tempo real aos usuários (AVL - Automatic Vehicle Location)</t>
  </si>
  <si>
    <t>DF</t>
  </si>
  <si>
    <t>Região Integrada de Desenvolvimento do Distrito Federal e Entorno</t>
  </si>
  <si>
    <t>-</t>
  </si>
  <si>
    <t>Águas Lindas de Goiás/GO-Brasília/DF</t>
  </si>
  <si>
    <t>Cidade Ocidental/GO-Brasília/DF</t>
  </si>
  <si>
    <t>Luziânia/GO-Brasília/DF</t>
  </si>
  <si>
    <t>Cofins; ISS; PIS</t>
  </si>
  <si>
    <t>Pessoas com deficiência e mobilidae reduzida; Pessoas com baixa renda; Pessoas com 60 a 64 anos</t>
  </si>
  <si>
    <t>Autorização; Permissão</t>
  </si>
  <si>
    <t>Bilhetagem eletrônica; Monitoramento eletrônico de frotas (GPS, câmeras, sensores, transmissão por rádio, etc.)</t>
  </si>
  <si>
    <t>RM São Paulo</t>
  </si>
  <si>
    <t>www.emtu.sp.gov.br; http://www.metro.sp.gov.br/sua-viagem/; https://geo.emplasa.sp.gov.br/</t>
  </si>
  <si>
    <t>1500; 1614</t>
  </si>
  <si>
    <t>8,5; 8,7; 7,5</t>
  </si>
  <si>
    <t>Ônibus: 2018; Metrô: 2020</t>
  </si>
  <si>
    <t>Não é divulgado</t>
  </si>
  <si>
    <t>96%; 99,2%</t>
  </si>
  <si>
    <t>4%; 0,8%</t>
  </si>
  <si>
    <t>S. Bernardo do Campo -São Paulo</t>
  </si>
  <si>
    <t>Santo André - Diadema</t>
  </si>
  <si>
    <t>Itapecerica – São Paulo</t>
  </si>
  <si>
    <t>Por número de integrações; Por Terminal de integração</t>
  </si>
  <si>
    <t>Incluído em metrô</t>
  </si>
  <si>
    <t>Taxa de Gerenciamento; Outros</t>
  </si>
  <si>
    <t>INSS sobre Faturamento; Área 5 Taxa de Gerenciamento por veículo cadastrado 2% Metra</t>
  </si>
  <si>
    <t>Outros</t>
  </si>
  <si>
    <t>CPRB - Contribuição Previdenciária Sobre a Receita Bruta</t>
  </si>
  <si>
    <t>PIS; Cofins; Outros</t>
  </si>
  <si>
    <t>Pessoas com baixa renda; Pessoas com 60 a 64 anos; Pessoas com deficiência e mobilidade reduzida; Estudantes da rede pública de ensino; Estudantes da rede privada de ensino</t>
  </si>
  <si>
    <t>Até 2 SM (apenas estudantes)</t>
  </si>
  <si>
    <t xml:space="preserve"> http://www.stm.sp.gov.br/Pitu2025/Documentos; http://www.emtu.sp.gov.br/emtu/empreendimentos/empreendimentos/programa-de-corredores-metropolitanos.fss; http://www.stm.sp.gov.br/PITU/Pitu2025/atualizacao_rede-1.pdf</t>
  </si>
  <si>
    <t>https://www.pdui.sp.gov.br/</t>
  </si>
  <si>
    <t>http://www.metro.sp.gov.br/pesquisa-od/index.aspx;  https://transparencia.metrosp.com.br/dataset/pesquisa-origem-e-destino</t>
  </si>
  <si>
    <t>Secretartia exclusiva</t>
  </si>
  <si>
    <t>Concessão; Permissão; Autorização</t>
  </si>
  <si>
    <t>Ônibus (Áreas 1, 2, 3, 4): 10 anos (+ 20 meses, + 19 meses); Corredor ABD (Metra): 20 anos (+ 5 anos);
Metrô: 30 anos; 20 anos;
Trem: 30 anos</t>
  </si>
  <si>
    <t>Ônibus (Áreas 1, 2, 3, 4): 01/2020 (2ª prorrogação); Corredor ABD (Metra): 05/2022;
Metrô: 06/2040; 08/2038;
Trem: 01/2052</t>
  </si>
  <si>
    <t>Ônibus: Passageiros equivalentes transportados; Metrô/Monotrilho/Trem: Passageiros totais transportados</t>
  </si>
  <si>
    <t>Bilhetagem eletrônica; Monitoramento eletrônico de frotas (GPS, câmeras, etc.); Centro de Controle Operacional; Outros</t>
  </si>
  <si>
    <t>Centro de Controle e Supervisão; Centro de Controle de Segurança; QRCode</t>
  </si>
  <si>
    <t>RM Baixada Santista</t>
  </si>
  <si>
    <t>www.emtu.sp.gov.br</t>
  </si>
  <si>
    <t>São Vicente-Santos</t>
  </si>
  <si>
    <t>Praia Grande-Santos</t>
  </si>
  <si>
    <t>INSS sobre Faturamento</t>
  </si>
  <si>
    <t>Passageiros equivalentes transportados</t>
  </si>
  <si>
    <t>Centro de Controle e Supervisão</t>
  </si>
  <si>
    <t>RM Campinas</t>
  </si>
  <si>
    <t>Vinhedo-Campinas</t>
  </si>
  <si>
    <t>Hortlândia-Campinas</t>
  </si>
  <si>
    <t>Monte-Mor-Campinas</t>
  </si>
  <si>
    <t>http://www.stm.sp.gov.br/Pitu2015/Documentos</t>
  </si>
  <si>
    <t>http://www.stm.sp.gov.br/transparencia/ArquivoArcevo/427</t>
  </si>
  <si>
    <t>Bilhetagem eletrônica; Monitoramento eletrônico de frotas (GPS, câmeras, etc.);Outros</t>
  </si>
  <si>
    <t>RM Vale do Paraíba e Litoral Norte</t>
  </si>
  <si>
    <t>Jacareí - São José dos Campos</t>
  </si>
  <si>
    <t>São Sebastião - Caraguatatuba</t>
  </si>
  <si>
    <t>Lorena - Guaratinguetá</t>
  </si>
  <si>
    <t>INSS sobre Faturamento; Taxa de Gerenciamento por veículo cadastrado</t>
  </si>
  <si>
    <t>http://www.stm.sp.gov.br/transparencia/ArquivoArcevo/428</t>
  </si>
  <si>
    <t>Permissão</t>
  </si>
  <si>
    <t>RM Sorocaba</t>
  </si>
  <si>
    <t>Salto de Pirapora - Sorocaba</t>
  </si>
  <si>
    <t>Votorantim - Sorocaba</t>
  </si>
  <si>
    <t>Salto-Itú</t>
  </si>
  <si>
    <t>Ônibus: Passageiros equivalentes transportados; Metrô: Passageiros totais transportados</t>
  </si>
  <si>
    <t>SP</t>
  </si>
  <si>
    <t>RM Salvador</t>
  </si>
  <si>
    <t>Ônibus metropolitano; Metrô</t>
  </si>
  <si>
    <t>https://web.quicko.com.br/</t>
  </si>
  <si>
    <t>Lauro de Freitas - Salvador</t>
  </si>
  <si>
    <t>Camaçari - Salvador</t>
  </si>
  <si>
    <t>Simões Filho - Salvador</t>
  </si>
  <si>
    <t>PIS; COFINS</t>
  </si>
  <si>
    <t>ICMS</t>
  </si>
  <si>
    <t>Nenhuma</t>
  </si>
  <si>
    <t>Monitoramento eletrônico de frotas (GPS, câmeras, sensores, transmissão por rádio, etc.); Centro de controle operacional</t>
  </si>
  <si>
    <t>BA</t>
  </si>
  <si>
    <t>RM Curitiba</t>
  </si>
  <si>
    <t>PR</t>
  </si>
  <si>
    <t>http://www.onibusmais.com.br/</t>
  </si>
  <si>
    <t>Colombo - Curitiba</t>
  </si>
  <si>
    <t>São José dos Pinhais - Curitiba</t>
  </si>
  <si>
    <t>Fazenda Rio Grande - Curitiba</t>
  </si>
  <si>
    <t>não há periodicidade definida</t>
  </si>
  <si>
    <t>http://www.comec.pr.gov.br/Pagina/Pesquisa-origemdestino</t>
  </si>
  <si>
    <t>Não existe transporte público coletivo regulamentado</t>
  </si>
  <si>
    <t>Bilhetagem eletrônica; Monitoramento eletrônico de frotas (GPS, câmeras, sensores, transmissão por rádio, etc.); Informação em tempo real aos usuários (AVL - Automatic Vehicle Location); Centro de controle operacional</t>
  </si>
  <si>
    <t>RM Rio de Janeiro</t>
  </si>
  <si>
    <t>https://www.metrorio.com.br; https://www.grupoccr.com.br/barcas</t>
  </si>
  <si>
    <t>São Gonçalo - Niterói</t>
  </si>
  <si>
    <t>Temporal; Por número de integrações</t>
  </si>
  <si>
    <t>ISS; PIS; Cofins; Outros</t>
  </si>
  <si>
    <t>Taxa Agetransp</t>
  </si>
  <si>
    <t>Taxa Agetransp; FEEF</t>
  </si>
  <si>
    <t>Estudantes da rede pública de ensino; Pessoas com deficiência e mobilidade reduzida</t>
  </si>
  <si>
    <t>http://www.central.rj.gov.br/pdtu2015.html</t>
  </si>
  <si>
    <t>www.modelarametropole.com.br</t>
  </si>
  <si>
    <t>Secretaria exclusiva</t>
  </si>
  <si>
    <t>20 (Metrô); 25 (Trem); 25 (Barco)</t>
  </si>
  <si>
    <t>dez/2038 (Metrô); out/2023 (Trem); fev/2023 (Barco)</t>
  </si>
  <si>
    <t>Passageiro equivalente; Passageiro transportado</t>
  </si>
  <si>
    <t>RJ</t>
  </si>
  <si>
    <t>CÓDIGO IBGE</t>
  </si>
  <si>
    <t>UF</t>
  </si>
  <si>
    <t>REGIÃO METROPOLITANA</t>
  </si>
  <si>
    <t>RM Recife</t>
  </si>
  <si>
    <t>RM Goiânia</t>
  </si>
  <si>
    <t>RM Grande Vitória</t>
  </si>
  <si>
    <t>Ônibus metropolitano; Metrô; Trem; Barco</t>
  </si>
  <si>
    <t>Permissão (Ônibus metropolitano); Concessão (Metrô, Trem, Barco)</t>
  </si>
  <si>
    <t>Não (Ônibus metropolitano); Sim (Metrô, Trem, Barco)</t>
  </si>
  <si>
    <t>Ônibus metropolitano; Metrô; Trem; Monotrilho</t>
  </si>
  <si>
    <t>Ônibus metropolitano; VLT</t>
  </si>
  <si>
    <t>3,6%; 1%</t>
  </si>
  <si>
    <t>ICMS; Taxa de poder de política (TPP)</t>
  </si>
  <si>
    <t>Estudantes da rede pública de ensino; Estudantes da rede privada de ensino; Pessoas com deficiência e mobilidae reduzida</t>
  </si>
  <si>
    <t>Concessão (Metrô); Autorização (Ônibus metropolitano)</t>
  </si>
  <si>
    <t xml:space="preserve"> Nova Iguaçu - Rio de Janeiro</t>
  </si>
  <si>
    <t>Duque de Caxias - Rio de Janeiro</t>
  </si>
  <si>
    <t>8%; 2%</t>
  </si>
  <si>
    <t>ICMS; FOT</t>
  </si>
  <si>
    <t>0,65% (sobre o total de receitas tarifárias)  e 1,65% (sobre o total de receitas acessórias)</t>
  </si>
  <si>
    <t>3,00% (sobre o total de receitas tarifárias) e 7,60% (sobre o total de receitas acessórias)</t>
  </si>
  <si>
    <t>5% (incide sobre direito de passagem e serviços prestados)</t>
  </si>
  <si>
    <t>1,65% (incide sobre aluguel de espaços publicitários e comerciais, direito de passagem, serviços prestados e cessão de energia)</t>
  </si>
  <si>
    <t>7,60% (incide sobre aluguel de espaços publicitários e 
comerciais, direito de passagem, serviços prestados e cessão de 
energia)</t>
  </si>
  <si>
    <t>Vale Transporte (1,50%); Bilhete Único (1,50%); Taxa Agentransp (0,50%); FOT (FEEF) = 0,53%; INSS (CPRB)= 2</t>
  </si>
  <si>
    <t>Vale Transporte (incide apenas para os passageiros que 
utilizam); Bilhete Único (incide apenas para os passageiros que utilizam); Taxa Agentransp (incide sobre o total de bilheteria – pagantes e 
gratuitos); FOT (FEEF) (incide sobre o total de bilheteria – pagantes e 
gratuitos) ; INSS (CPRB) (incide sobre o total de bilheteria – pagantes e
gratuitos); Mastercard (incide apenas para os passageiros que utilizam)</t>
  </si>
  <si>
    <t>2%-5% (sobre total de receitas tarifárias)</t>
  </si>
  <si>
    <t>0,65% (sobre total de receitas tarifárias) e 1,65% (sobre total de receitas acessórias)</t>
  </si>
  <si>
    <t>3% (sobre total de receitas tarifárias) e 7,60% (sobre total de receitas acessórias)</t>
  </si>
  <si>
    <t>0,5%; 10%, respectivamente</t>
  </si>
  <si>
    <t>44.313.29</t>
  </si>
  <si>
    <t>14,5 km (metrô)
30,53 km (linhas de ônibus)
26 km (trens urbanos)</t>
  </si>
  <si>
    <t>100% (utiliza o B12 - 12% diesel misturado ao diesel convencional)</t>
  </si>
  <si>
    <t>Aplicativo de localização de equipes de segurança nas estações, sistema digiral de avisos sonoros; Elevadores de acessibilidade para PcDs e PCEs na frota de ônibus, Gerenciamento do tráfego com utilização de ferramenta de microssimulação, sistema de engenharia de tráfego para planejamento e implantação de corredores e faixas exclusivas; Implantação no Circuito Fechado de TV (“CFTV”) nas Estações da SuperVia; Atualização do sistema Teltronic; Sistema de Orçamento HFM (Hyperion); 
Implantação do Oracle Cloud</t>
  </si>
  <si>
    <t>População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</si>
</sst>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0.0"/>
    <numFmt numFmtId="166" formatCode="0.0%"/>
    <numFmt numFmtId="167" formatCode="_-* #,##0_-;\-* #,##0_-;_-* &quot;-&quot;??_-;_-@_-"/>
    <numFmt numFmtId="168" formatCode="[$-416]mmmm\-yy;@"/>
    <numFmt numFmtId="169" formatCode="[$-416]d\-mmm\-yy;@"/>
    <numFmt numFmtId="170" formatCode="[$-416]mmm\-yy;@"/>
    <numFmt numFmtId="171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</cellStyleXfs>
  <cellXfs count="6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3" xfId="44" applyFont="1" applyBorder="1" applyAlignment="1">
      <alignment horizontal="center" vertical="center" wrapText="1"/>
    </xf>
    <xf numFmtId="3" fontId="19" fillId="0" borderId="13" xfId="0" applyNumberFormat="1" applyFont="1" applyBorder="1" applyAlignment="1">
      <alignment horizontal="center" vertical="center" wrapText="1"/>
    </xf>
    <xf numFmtId="164" fontId="19" fillId="0" borderId="13" xfId="45" applyNumberFormat="1" applyFont="1" applyBorder="1" applyAlignment="1">
      <alignment horizontal="center" vertical="center" wrapText="1"/>
    </xf>
    <xf numFmtId="165" fontId="19" fillId="0" borderId="13" xfId="0" applyNumberFormat="1" applyFont="1" applyBorder="1" applyAlignment="1">
      <alignment horizontal="center" vertical="center" wrapText="1"/>
    </xf>
    <xf numFmtId="166" fontId="19" fillId="0" borderId="13" xfId="0" applyNumberFormat="1" applyFont="1" applyBorder="1" applyAlignment="1">
      <alignment horizontal="center" vertical="center" wrapText="1"/>
    </xf>
    <xf numFmtId="10" fontId="19" fillId="0" borderId="13" xfId="0" applyNumberFormat="1" applyFont="1" applyBorder="1" applyAlignment="1">
      <alignment horizontal="center" vertical="center" wrapText="1"/>
    </xf>
    <xf numFmtId="44" fontId="19" fillId="0" borderId="13" xfId="42" applyFont="1" applyBorder="1" applyAlignment="1">
      <alignment horizontal="center" vertical="center" wrapText="1"/>
    </xf>
    <xf numFmtId="15" fontId="19" fillId="0" borderId="13" xfId="0" applyNumberFormat="1" applyFont="1" applyBorder="1" applyAlignment="1">
      <alignment horizontal="center" vertical="center" wrapText="1"/>
    </xf>
    <xf numFmtId="0" fontId="19" fillId="0" borderId="13" xfId="0" quotePrefix="1" applyFont="1" applyBorder="1" applyAlignment="1">
      <alignment horizontal="center" vertical="center" wrapText="1"/>
    </xf>
    <xf numFmtId="9" fontId="19" fillId="0" borderId="13" xfId="0" applyNumberFormat="1" applyFont="1" applyBorder="1" applyAlignment="1">
      <alignment horizontal="center" vertical="center" wrapText="1"/>
    </xf>
    <xf numFmtId="167" fontId="19" fillId="0" borderId="13" xfId="45" applyNumberFormat="1" applyFont="1" applyBorder="1" applyAlignment="1">
      <alignment horizontal="center" vertical="center" wrapText="1"/>
    </xf>
    <xf numFmtId="9" fontId="19" fillId="0" borderId="13" xfId="43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0" fontId="19" fillId="0" borderId="13" xfId="43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0" fontId="19" fillId="0" borderId="13" xfId="44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44" fontId="0" fillId="0" borderId="13" xfId="42" applyFon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/>
    </xf>
    <xf numFmtId="0" fontId="19" fillId="0" borderId="13" xfId="44" applyFont="1" applyFill="1" applyBorder="1" applyAlignment="1">
      <alignment horizontal="center" vertical="center"/>
    </xf>
    <xf numFmtId="44" fontId="0" fillId="0" borderId="13" xfId="42" applyFont="1" applyFill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71" fontId="0" fillId="0" borderId="13" xfId="0" applyNumberFormat="1" applyBorder="1" applyAlignment="1">
      <alignment horizontal="center" vertical="center"/>
    </xf>
    <xf numFmtId="170" fontId="19" fillId="0" borderId="13" xfId="0" applyNumberFormat="1" applyFon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7" fontId="0" fillId="0" borderId="13" xfId="0" applyNumberFormat="1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 wrapText="1"/>
    </xf>
    <xf numFmtId="10" fontId="19" fillId="0" borderId="13" xfId="43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9" fillId="0" borderId="13" xfId="44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66" fontId="0" fillId="0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 shrinkToFit="1"/>
    </xf>
    <xf numFmtId="166" fontId="19" fillId="0" borderId="13" xfId="0" applyNumberFormat="1" applyFont="1" applyFill="1" applyBorder="1" applyAlignment="1">
      <alignment horizontal="center" vertical="center" wrapText="1"/>
    </xf>
    <xf numFmtId="9" fontId="19" fillId="0" borderId="13" xfId="0" applyNumberFormat="1" applyFont="1" applyFill="1" applyBorder="1" applyAlignment="1">
      <alignment horizontal="center" vertical="center" wrapText="1"/>
    </xf>
    <xf numFmtId="164" fontId="19" fillId="0" borderId="13" xfId="45" applyNumberFormat="1" applyFont="1" applyFill="1" applyBorder="1" applyAlignment="1">
      <alignment horizontal="center" vertical="center" wrapText="1"/>
    </xf>
    <xf numFmtId="10" fontId="19" fillId="0" borderId="13" xfId="0" applyNumberFormat="1" applyFont="1" applyFill="1" applyBorder="1" applyAlignment="1">
      <alignment horizontal="center" vertical="center" wrapText="1"/>
    </xf>
    <xf numFmtId="9" fontId="19" fillId="0" borderId="13" xfId="43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14" fontId="19" fillId="0" borderId="13" xfId="0" applyNumberFormat="1" applyFont="1" applyBorder="1" applyAlignment="1">
      <alignment horizontal="center" vertical="center" wrapText="1"/>
    </xf>
    <xf numFmtId="44" fontId="19" fillId="33" borderId="13" xfId="42" applyFont="1" applyFill="1" applyBorder="1" applyAlignment="1">
      <alignment horizontal="center" vertical="center" wrapText="1"/>
    </xf>
    <xf numFmtId="10" fontId="19" fillId="33" borderId="15" xfId="0" applyNumberFormat="1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25" fillId="0" borderId="13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10" fontId="0" fillId="0" borderId="13" xfId="0" applyNumberFormat="1" applyFill="1" applyBorder="1" applyAlignment="1">
      <alignment horizontal="center" vertical="center" wrapText="1"/>
    </xf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4" builtinId="8"/>
    <cellStyle name="Moeda" xfId="42" builtinId="4"/>
    <cellStyle name="Neutro" xfId="8" builtinId="28" customBuiltin="1"/>
    <cellStyle name="Normal" xfId="0" builtinId="0"/>
    <cellStyle name="Normal 2" xfId="46" xr:uid="{C95E9A60-5137-4909-B457-715F4693518C}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 2" xfId="45" xr:uid="{78044922-7B88-4DC4-AAF7-82AA6FBB5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dui.sp.gov.br/" TargetMode="External"/><Relationship Id="rId13" Type="http://schemas.openxmlformats.org/officeDocument/2006/relationships/hyperlink" Target="https://web.quicko.com.br/" TargetMode="External"/><Relationship Id="rId18" Type="http://schemas.openxmlformats.org/officeDocument/2006/relationships/hyperlink" Target="http://www.central.rj.gov.br/pdtu2015.html" TargetMode="External"/><Relationship Id="rId3" Type="http://schemas.openxmlformats.org/officeDocument/2006/relationships/hyperlink" Target="http://www.emtu.sp.gov.br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www.pdui.sp.gov.br/" TargetMode="External"/><Relationship Id="rId12" Type="http://schemas.openxmlformats.org/officeDocument/2006/relationships/hyperlink" Target="http://www.emtu.sp.gov.br/" TargetMode="External"/><Relationship Id="rId17" Type="http://schemas.openxmlformats.org/officeDocument/2006/relationships/hyperlink" Target="http://www.modelarametropole.com.br/" TargetMode="External"/><Relationship Id="rId2" Type="http://schemas.openxmlformats.org/officeDocument/2006/relationships/hyperlink" Target="http://www.emtu.sp.gov.br/" TargetMode="External"/><Relationship Id="rId16" Type="http://schemas.openxmlformats.org/officeDocument/2006/relationships/hyperlink" Target="http://www.central.rj.gov.br/pdtu2015.html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://www.emtu.sp.gov.br/" TargetMode="External"/><Relationship Id="rId6" Type="http://schemas.openxmlformats.org/officeDocument/2006/relationships/hyperlink" Target="https://www.pdui.sp.gov.br/" TargetMode="External"/><Relationship Id="rId11" Type="http://schemas.openxmlformats.org/officeDocument/2006/relationships/hyperlink" Target="http://www.stm.sp.gov.br/transparencia/ArquivoArcevo/427" TargetMode="External"/><Relationship Id="rId5" Type="http://schemas.openxmlformats.org/officeDocument/2006/relationships/hyperlink" Target="http://www.stm.sp.gov.br/Pitu2015/Documentos" TargetMode="External"/><Relationship Id="rId15" Type="http://schemas.openxmlformats.org/officeDocument/2006/relationships/hyperlink" Target="http://www.comec.pr.gov.br/Pagina/Pesquisa-origemdestino" TargetMode="External"/><Relationship Id="rId10" Type="http://schemas.openxmlformats.org/officeDocument/2006/relationships/hyperlink" Target="http://www.stm.sp.gov.br/transparencia/ArquivoArcevo/428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www.emtu.sp.gov.br/" TargetMode="External"/><Relationship Id="rId9" Type="http://schemas.openxmlformats.org/officeDocument/2006/relationships/hyperlink" Target="http://www.metro.sp.gov.br/pesquisa-od/index.aspx" TargetMode="External"/><Relationship Id="rId14" Type="http://schemas.openxmlformats.org/officeDocument/2006/relationships/hyperlink" Target="http://www.onibusmai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M15"/>
  <sheetViews>
    <sheetView showGridLines="0" tabSelected="1" zoomScale="40" zoomScaleNormal="40" workbookViewId="0">
      <selection sqref="A1:C1"/>
    </sheetView>
  </sheetViews>
  <sheetFormatPr defaultRowHeight="15" x14ac:dyDescent="0.25"/>
  <cols>
    <col min="1" max="1" width="23.42578125" customWidth="1"/>
    <col min="2" max="2" width="7.140625" bestFit="1" customWidth="1"/>
    <col min="3" max="4" width="48.85546875" customWidth="1"/>
    <col min="5" max="5" width="45.28515625" customWidth="1"/>
    <col min="6" max="6" width="36.5703125" bestFit="1" customWidth="1"/>
    <col min="7" max="7" width="42.28515625" customWidth="1"/>
    <col min="8" max="8" width="41" customWidth="1"/>
    <col min="9" max="9" width="36.5703125" bestFit="1" customWidth="1"/>
    <col min="10" max="10" width="40.85546875" customWidth="1"/>
    <col min="11" max="11" width="39.42578125" customWidth="1"/>
    <col min="12" max="53" width="36.5703125" bestFit="1" customWidth="1"/>
    <col min="54" max="54" width="28.5703125" bestFit="1" customWidth="1"/>
    <col min="55" max="140" width="36.5703125" bestFit="1" customWidth="1"/>
    <col min="141" max="141" width="40.5703125" bestFit="1" customWidth="1"/>
    <col min="142" max="346" width="36.5703125" bestFit="1" customWidth="1"/>
    <col min="347" max="347" width="33.42578125" bestFit="1" customWidth="1"/>
    <col min="348" max="351" width="36.5703125" bestFit="1" customWidth="1"/>
  </cols>
  <sheetData>
    <row r="1" spans="1:351" ht="105.75" thickBot="1" x14ac:dyDescent="0.3">
      <c r="A1" s="57"/>
      <c r="B1" s="57"/>
      <c r="C1" s="58"/>
      <c r="D1" s="54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278</v>
      </c>
      <c r="JX1" s="1" t="s">
        <v>279</v>
      </c>
      <c r="JY1" s="1" t="s">
        <v>280</v>
      </c>
      <c r="JZ1" s="1" t="s">
        <v>281</v>
      </c>
      <c r="KA1" s="1" t="s">
        <v>282</v>
      </c>
      <c r="KB1" s="1" t="s">
        <v>283</v>
      </c>
      <c r="KC1" s="1" t="s">
        <v>284</v>
      </c>
      <c r="KD1" s="1" t="s">
        <v>285</v>
      </c>
      <c r="KE1" s="1" t="s">
        <v>286</v>
      </c>
      <c r="KF1" s="1" t="s">
        <v>287</v>
      </c>
      <c r="KG1" s="1" t="s">
        <v>288</v>
      </c>
      <c r="KH1" s="1" t="s">
        <v>289</v>
      </c>
      <c r="KI1" s="1" t="s">
        <v>290</v>
      </c>
      <c r="KJ1" s="1" t="s">
        <v>291</v>
      </c>
      <c r="KK1" s="1" t="s">
        <v>292</v>
      </c>
      <c r="KL1" s="1" t="s">
        <v>293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</row>
    <row r="2" spans="1:351" ht="15.75" thickBot="1" x14ac:dyDescent="0.3">
      <c r="A2" s="37" t="s">
        <v>839</v>
      </c>
      <c r="B2" s="37" t="s">
        <v>840</v>
      </c>
      <c r="C2" s="37" t="s">
        <v>841</v>
      </c>
      <c r="D2" s="54" t="s">
        <v>873</v>
      </c>
      <c r="E2" s="37" t="s">
        <v>347</v>
      </c>
      <c r="F2" s="37" t="s">
        <v>348</v>
      </c>
      <c r="G2" s="37" t="s">
        <v>349</v>
      </c>
      <c r="H2" s="37" t="s">
        <v>350</v>
      </c>
      <c r="I2" s="37" t="s">
        <v>351</v>
      </c>
      <c r="J2" s="37" t="s">
        <v>352</v>
      </c>
      <c r="K2" s="37" t="s">
        <v>353</v>
      </c>
      <c r="L2" s="37" t="s">
        <v>354</v>
      </c>
      <c r="M2" s="37" t="s">
        <v>355</v>
      </c>
      <c r="N2" s="37" t="s">
        <v>356</v>
      </c>
      <c r="O2" s="37" t="s">
        <v>357</v>
      </c>
      <c r="P2" s="37" t="s">
        <v>358</v>
      </c>
      <c r="Q2" s="37" t="s">
        <v>359</v>
      </c>
      <c r="R2" s="37" t="s">
        <v>360</v>
      </c>
      <c r="S2" s="37" t="s">
        <v>361</v>
      </c>
      <c r="T2" s="37" t="s">
        <v>362</v>
      </c>
      <c r="U2" s="37" t="s">
        <v>363</v>
      </c>
      <c r="V2" s="37" t="s">
        <v>364</v>
      </c>
      <c r="W2" s="37" t="s">
        <v>365</v>
      </c>
      <c r="X2" s="37" t="s">
        <v>366</v>
      </c>
      <c r="Y2" s="37" t="s">
        <v>367</v>
      </c>
      <c r="Z2" s="37" t="s">
        <v>368</v>
      </c>
      <c r="AA2" s="37" t="s">
        <v>369</v>
      </c>
      <c r="AB2" s="37" t="s">
        <v>370</v>
      </c>
      <c r="AC2" s="37" t="s">
        <v>371</v>
      </c>
      <c r="AD2" s="37" t="s">
        <v>372</v>
      </c>
      <c r="AE2" s="37" t="s">
        <v>373</v>
      </c>
      <c r="AF2" s="37" t="s">
        <v>374</v>
      </c>
      <c r="AG2" s="37" t="s">
        <v>375</v>
      </c>
      <c r="AH2" s="37" t="s">
        <v>376</v>
      </c>
      <c r="AI2" s="37" t="s">
        <v>377</v>
      </c>
      <c r="AJ2" s="37" t="s">
        <v>378</v>
      </c>
      <c r="AK2" s="37" t="s">
        <v>379</v>
      </c>
      <c r="AL2" s="37" t="s">
        <v>380</v>
      </c>
      <c r="AM2" s="37" t="s">
        <v>381</v>
      </c>
      <c r="AN2" s="37" t="s">
        <v>382</v>
      </c>
      <c r="AO2" s="37" t="s">
        <v>383</v>
      </c>
      <c r="AP2" s="37" t="s">
        <v>384</v>
      </c>
      <c r="AQ2" s="37" t="s">
        <v>385</v>
      </c>
      <c r="AR2" s="37" t="s">
        <v>386</v>
      </c>
      <c r="AS2" s="37" t="s">
        <v>387</v>
      </c>
      <c r="AT2" s="37" t="s">
        <v>388</v>
      </c>
      <c r="AU2" s="37" t="s">
        <v>389</v>
      </c>
      <c r="AV2" s="37" t="s">
        <v>390</v>
      </c>
      <c r="AW2" s="37" t="s">
        <v>391</v>
      </c>
      <c r="AX2" s="37" t="s">
        <v>392</v>
      </c>
      <c r="AY2" s="37" t="s">
        <v>393</v>
      </c>
      <c r="AZ2" s="37" t="s">
        <v>394</v>
      </c>
      <c r="BA2" s="37" t="s">
        <v>395</v>
      </c>
      <c r="BB2" s="37" t="s">
        <v>396</v>
      </c>
      <c r="BC2" s="37" t="s">
        <v>397</v>
      </c>
      <c r="BD2" s="37" t="s">
        <v>398</v>
      </c>
      <c r="BE2" s="37" t="s">
        <v>399</v>
      </c>
      <c r="BF2" s="37" t="s">
        <v>400</v>
      </c>
      <c r="BG2" s="37" t="s">
        <v>401</v>
      </c>
      <c r="BH2" s="37" t="s">
        <v>402</v>
      </c>
      <c r="BI2" s="37" t="s">
        <v>403</v>
      </c>
      <c r="BJ2" s="37" t="s">
        <v>404</v>
      </c>
      <c r="BK2" s="37" t="s">
        <v>405</v>
      </c>
      <c r="BL2" s="37" t="s">
        <v>406</v>
      </c>
      <c r="BM2" s="37" t="s">
        <v>407</v>
      </c>
      <c r="BN2" s="37" t="s">
        <v>408</v>
      </c>
      <c r="BO2" s="37" t="s">
        <v>409</v>
      </c>
      <c r="BP2" s="37" t="s">
        <v>410</v>
      </c>
      <c r="BQ2" s="37" t="s">
        <v>411</v>
      </c>
      <c r="BR2" s="37" t="s">
        <v>412</v>
      </c>
      <c r="BS2" s="37" t="s">
        <v>413</v>
      </c>
      <c r="BT2" s="37" t="s">
        <v>414</v>
      </c>
      <c r="BU2" s="37" t="s">
        <v>415</v>
      </c>
      <c r="BV2" s="37" t="s">
        <v>416</v>
      </c>
      <c r="BW2" s="37" t="s">
        <v>417</v>
      </c>
      <c r="BX2" s="37" t="s">
        <v>418</v>
      </c>
      <c r="BY2" s="37" t="s">
        <v>419</v>
      </c>
      <c r="BZ2" s="37" t="s">
        <v>420</v>
      </c>
      <c r="CA2" s="37" t="s">
        <v>421</v>
      </c>
      <c r="CB2" s="37" t="s">
        <v>422</v>
      </c>
      <c r="CC2" s="37" t="s">
        <v>423</v>
      </c>
      <c r="CD2" s="37" t="s">
        <v>424</v>
      </c>
      <c r="CE2" s="37" t="s">
        <v>425</v>
      </c>
      <c r="CF2" s="37" t="s">
        <v>426</v>
      </c>
      <c r="CG2" s="37" t="s">
        <v>427</v>
      </c>
      <c r="CH2" s="37" t="s">
        <v>428</v>
      </c>
      <c r="CI2" s="37" t="s">
        <v>429</v>
      </c>
      <c r="CJ2" s="37" t="s">
        <v>430</v>
      </c>
      <c r="CK2" s="37" t="s">
        <v>431</v>
      </c>
      <c r="CL2" s="37" t="s">
        <v>432</v>
      </c>
      <c r="CM2" s="37" t="s">
        <v>433</v>
      </c>
      <c r="CN2" s="37" t="s">
        <v>434</v>
      </c>
      <c r="CO2" s="37" t="s">
        <v>435</v>
      </c>
      <c r="CP2" s="37" t="s">
        <v>436</v>
      </c>
      <c r="CQ2" s="37" t="s">
        <v>437</v>
      </c>
      <c r="CR2" s="37" t="s">
        <v>438</v>
      </c>
      <c r="CS2" s="37" t="s">
        <v>439</v>
      </c>
      <c r="CT2" s="37" t="s">
        <v>440</v>
      </c>
      <c r="CU2" s="37" t="s">
        <v>441</v>
      </c>
      <c r="CV2" s="37" t="s">
        <v>442</v>
      </c>
      <c r="CW2" s="37" t="s">
        <v>443</v>
      </c>
      <c r="CX2" s="37" t="s">
        <v>444</v>
      </c>
      <c r="CY2" s="37" t="s">
        <v>445</v>
      </c>
      <c r="CZ2" s="37" t="s">
        <v>446</v>
      </c>
      <c r="DA2" s="37" t="s">
        <v>447</v>
      </c>
      <c r="DB2" s="37" t="s">
        <v>448</v>
      </c>
      <c r="DC2" s="37" t="s">
        <v>449</v>
      </c>
      <c r="DD2" s="37" t="s">
        <v>450</v>
      </c>
      <c r="DE2" s="37" t="s">
        <v>451</v>
      </c>
      <c r="DF2" s="37" t="s">
        <v>452</v>
      </c>
      <c r="DG2" s="37" t="s">
        <v>453</v>
      </c>
      <c r="DH2" s="37" t="s">
        <v>454</v>
      </c>
      <c r="DI2" s="37" t="s">
        <v>455</v>
      </c>
      <c r="DJ2" s="37" t="s">
        <v>456</v>
      </c>
      <c r="DK2" s="37" t="s">
        <v>457</v>
      </c>
      <c r="DL2" s="37" t="s">
        <v>458</v>
      </c>
      <c r="DM2" s="37" t="s">
        <v>459</v>
      </c>
      <c r="DN2" s="37" t="s">
        <v>460</v>
      </c>
      <c r="DO2" s="37" t="s">
        <v>461</v>
      </c>
      <c r="DP2" s="37" t="s">
        <v>462</v>
      </c>
      <c r="DQ2" s="37" t="s">
        <v>463</v>
      </c>
      <c r="DR2" s="37" t="s">
        <v>464</v>
      </c>
      <c r="DS2" s="37" t="s">
        <v>465</v>
      </c>
      <c r="DT2" s="37" t="s">
        <v>466</v>
      </c>
      <c r="DU2" s="37" t="s">
        <v>467</v>
      </c>
      <c r="DV2" s="37" t="s">
        <v>468</v>
      </c>
      <c r="DW2" s="37" t="s">
        <v>469</v>
      </c>
      <c r="DX2" s="37" t="s">
        <v>470</v>
      </c>
      <c r="DY2" s="37" t="s">
        <v>471</v>
      </c>
      <c r="DZ2" s="37" t="s">
        <v>472</v>
      </c>
      <c r="EA2" s="37" t="s">
        <v>473</v>
      </c>
      <c r="EB2" s="37" t="s">
        <v>474</v>
      </c>
      <c r="EC2" s="37" t="s">
        <v>475</v>
      </c>
      <c r="ED2" s="37" t="s">
        <v>476</v>
      </c>
      <c r="EE2" s="37" t="s">
        <v>477</v>
      </c>
      <c r="EF2" s="37" t="s">
        <v>478</v>
      </c>
      <c r="EG2" s="37" t="s">
        <v>479</v>
      </c>
      <c r="EH2" s="37" t="s">
        <v>480</v>
      </c>
      <c r="EI2" s="37" t="s">
        <v>481</v>
      </c>
      <c r="EJ2" s="37" t="s">
        <v>482</v>
      </c>
      <c r="EK2" s="37" t="s">
        <v>483</v>
      </c>
      <c r="EL2" s="37" t="s">
        <v>484</v>
      </c>
      <c r="EM2" s="37" t="s">
        <v>485</v>
      </c>
      <c r="EN2" s="37" t="s">
        <v>486</v>
      </c>
      <c r="EO2" s="37" t="s">
        <v>487</v>
      </c>
      <c r="EP2" s="37" t="s">
        <v>488</v>
      </c>
      <c r="EQ2" s="37" t="s">
        <v>489</v>
      </c>
      <c r="ER2" s="37" t="s">
        <v>490</v>
      </c>
      <c r="ES2" s="37" t="s">
        <v>491</v>
      </c>
      <c r="ET2" s="37" t="s">
        <v>492</v>
      </c>
      <c r="EU2" s="37" t="s">
        <v>493</v>
      </c>
      <c r="EV2" s="37" t="s">
        <v>494</v>
      </c>
      <c r="EW2" s="37" t="s">
        <v>495</v>
      </c>
      <c r="EX2" s="37" t="s">
        <v>496</v>
      </c>
      <c r="EY2" s="37" t="s">
        <v>497</v>
      </c>
      <c r="EZ2" s="37" t="s">
        <v>498</v>
      </c>
      <c r="FA2" s="37" t="s">
        <v>499</v>
      </c>
      <c r="FB2" s="37" t="s">
        <v>500</v>
      </c>
      <c r="FC2" s="37" t="s">
        <v>501</v>
      </c>
      <c r="FD2" s="37" t="s">
        <v>502</v>
      </c>
      <c r="FE2" s="37" t="s">
        <v>503</v>
      </c>
      <c r="FF2" s="37" t="s">
        <v>504</v>
      </c>
      <c r="FG2" s="37" t="s">
        <v>505</v>
      </c>
      <c r="FH2" s="37" t="s">
        <v>506</v>
      </c>
      <c r="FI2" s="37" t="s">
        <v>507</v>
      </c>
      <c r="FJ2" s="37" t="s">
        <v>508</v>
      </c>
      <c r="FK2" s="37" t="s">
        <v>509</v>
      </c>
      <c r="FL2" s="37" t="s">
        <v>510</v>
      </c>
      <c r="FM2" s="37" t="s">
        <v>511</v>
      </c>
      <c r="FN2" s="37" t="s">
        <v>512</v>
      </c>
      <c r="FO2" s="37" t="s">
        <v>513</v>
      </c>
      <c r="FP2" s="37" t="s">
        <v>514</v>
      </c>
      <c r="FQ2" s="37" t="s">
        <v>515</v>
      </c>
      <c r="FR2" s="37" t="s">
        <v>516</v>
      </c>
      <c r="FS2" s="37" t="s">
        <v>517</v>
      </c>
      <c r="FT2" s="37" t="s">
        <v>518</v>
      </c>
      <c r="FU2" s="37" t="s">
        <v>519</v>
      </c>
      <c r="FV2" s="37" t="s">
        <v>520</v>
      </c>
      <c r="FW2" s="37" t="s">
        <v>521</v>
      </c>
      <c r="FX2" s="37" t="s">
        <v>522</v>
      </c>
      <c r="FY2" s="37" t="s">
        <v>523</v>
      </c>
      <c r="FZ2" s="37" t="s">
        <v>524</v>
      </c>
      <c r="GA2" s="37" t="s">
        <v>525</v>
      </c>
      <c r="GB2" s="37" t="s">
        <v>526</v>
      </c>
      <c r="GC2" s="37" t="s">
        <v>527</v>
      </c>
      <c r="GD2" s="37" t="s">
        <v>528</v>
      </c>
      <c r="GE2" s="37" t="s">
        <v>529</v>
      </c>
      <c r="GF2" s="37" t="s">
        <v>530</v>
      </c>
      <c r="GG2" s="37" t="s">
        <v>531</v>
      </c>
      <c r="GH2" s="37" t="s">
        <v>532</v>
      </c>
      <c r="GI2" s="37" t="s">
        <v>533</v>
      </c>
      <c r="GJ2" s="37" t="s">
        <v>534</v>
      </c>
      <c r="GK2" s="37" t="s">
        <v>535</v>
      </c>
      <c r="GL2" s="37" t="s">
        <v>536</v>
      </c>
      <c r="GM2" s="37" t="s">
        <v>537</v>
      </c>
      <c r="GN2" s="37" t="s">
        <v>538</v>
      </c>
      <c r="GO2" s="37" t="s">
        <v>539</v>
      </c>
      <c r="GP2" s="37" t="s">
        <v>540</v>
      </c>
      <c r="GQ2" s="37" t="s">
        <v>541</v>
      </c>
      <c r="GR2" s="37" t="s">
        <v>542</v>
      </c>
      <c r="GS2" s="37" t="s">
        <v>543</v>
      </c>
      <c r="GT2" s="37" t="s">
        <v>544</v>
      </c>
      <c r="GU2" s="37" t="s">
        <v>545</v>
      </c>
      <c r="GV2" s="37" t="s">
        <v>546</v>
      </c>
      <c r="GW2" s="37" t="s">
        <v>547</v>
      </c>
      <c r="GX2" s="37" t="s">
        <v>548</v>
      </c>
      <c r="GY2" s="37" t="s">
        <v>549</v>
      </c>
      <c r="GZ2" s="37" t="s">
        <v>550</v>
      </c>
      <c r="HA2" s="37" t="s">
        <v>551</v>
      </c>
      <c r="HB2" s="37" t="s">
        <v>552</v>
      </c>
      <c r="HC2" s="37" t="s">
        <v>553</v>
      </c>
      <c r="HD2" s="37" t="s">
        <v>554</v>
      </c>
      <c r="HE2" s="37" t="s">
        <v>555</v>
      </c>
      <c r="HF2" s="37" t="s">
        <v>556</v>
      </c>
      <c r="HG2" s="37" t="s">
        <v>557</v>
      </c>
      <c r="HH2" s="37" t="s">
        <v>558</v>
      </c>
      <c r="HI2" s="37" t="s">
        <v>559</v>
      </c>
      <c r="HJ2" s="37" t="s">
        <v>560</v>
      </c>
      <c r="HK2" s="37" t="s">
        <v>561</v>
      </c>
      <c r="HL2" s="37" t="s">
        <v>562</v>
      </c>
      <c r="HM2" s="37" t="s">
        <v>563</v>
      </c>
      <c r="HN2" s="37" t="s">
        <v>564</v>
      </c>
      <c r="HO2" s="37" t="s">
        <v>565</v>
      </c>
      <c r="HP2" s="37" t="s">
        <v>566</v>
      </c>
      <c r="HQ2" s="37" t="s">
        <v>567</v>
      </c>
      <c r="HR2" s="37" t="s">
        <v>568</v>
      </c>
      <c r="HS2" s="37" t="s">
        <v>569</v>
      </c>
      <c r="HT2" s="37" t="s">
        <v>570</v>
      </c>
      <c r="HU2" s="37" t="s">
        <v>571</v>
      </c>
      <c r="HV2" s="37" t="s">
        <v>572</v>
      </c>
      <c r="HW2" s="37" t="s">
        <v>573</v>
      </c>
      <c r="HX2" s="37" t="s">
        <v>574</v>
      </c>
      <c r="HY2" s="37" t="s">
        <v>575</v>
      </c>
      <c r="HZ2" s="37" t="s">
        <v>576</v>
      </c>
      <c r="IA2" s="37" t="s">
        <v>577</v>
      </c>
      <c r="IB2" s="37" t="s">
        <v>578</v>
      </c>
      <c r="IC2" s="37" t="s">
        <v>579</v>
      </c>
      <c r="ID2" s="37" t="s">
        <v>580</v>
      </c>
      <c r="IE2" s="37" t="s">
        <v>581</v>
      </c>
      <c r="IF2" s="37" t="s">
        <v>582</v>
      </c>
      <c r="IG2" s="37" t="s">
        <v>583</v>
      </c>
      <c r="IH2" s="37" t="s">
        <v>584</v>
      </c>
      <c r="II2" s="37" t="s">
        <v>585</v>
      </c>
      <c r="IJ2" s="37" t="s">
        <v>586</v>
      </c>
      <c r="IK2" s="37" t="s">
        <v>587</v>
      </c>
      <c r="IL2" s="37" t="s">
        <v>588</v>
      </c>
      <c r="IM2" s="37" t="s">
        <v>589</v>
      </c>
      <c r="IN2" s="37" t="s">
        <v>590</v>
      </c>
      <c r="IO2" s="37" t="s">
        <v>591</v>
      </c>
      <c r="IP2" s="37" t="s">
        <v>592</v>
      </c>
      <c r="IQ2" s="37" t="s">
        <v>593</v>
      </c>
      <c r="IR2" s="37" t="s">
        <v>594</v>
      </c>
      <c r="IS2" s="37" t="s">
        <v>595</v>
      </c>
      <c r="IT2" s="37" t="s">
        <v>596</v>
      </c>
      <c r="IU2" s="37" t="s">
        <v>597</v>
      </c>
      <c r="IV2" s="37" t="s">
        <v>598</v>
      </c>
      <c r="IW2" s="37" t="s">
        <v>599</v>
      </c>
      <c r="IX2" s="37" t="s">
        <v>600</v>
      </c>
      <c r="IY2" s="37" t="s">
        <v>601</v>
      </c>
      <c r="IZ2" s="37" t="s">
        <v>602</v>
      </c>
      <c r="JA2" s="37" t="s">
        <v>603</v>
      </c>
      <c r="JB2" s="37" t="s">
        <v>604</v>
      </c>
      <c r="JC2" s="37" t="s">
        <v>605</v>
      </c>
      <c r="JD2" s="37" t="s">
        <v>606</v>
      </c>
      <c r="JE2" s="37" t="s">
        <v>607</v>
      </c>
      <c r="JF2" s="37" t="s">
        <v>608</v>
      </c>
      <c r="JG2" s="37" t="s">
        <v>609</v>
      </c>
      <c r="JH2" s="37" t="s">
        <v>610</v>
      </c>
      <c r="JI2" s="37" t="s">
        <v>611</v>
      </c>
      <c r="JJ2" s="37" t="s">
        <v>612</v>
      </c>
      <c r="JK2" s="37" t="s">
        <v>613</v>
      </c>
      <c r="JL2" s="37" t="s">
        <v>614</v>
      </c>
      <c r="JM2" s="37" t="s">
        <v>615</v>
      </c>
      <c r="JN2" s="37" t="s">
        <v>616</v>
      </c>
      <c r="JO2" s="37" t="s">
        <v>617</v>
      </c>
      <c r="JP2" s="37" t="s">
        <v>618</v>
      </c>
      <c r="JQ2" s="37" t="s">
        <v>619</v>
      </c>
      <c r="JR2" s="37" t="s">
        <v>620</v>
      </c>
      <c r="JS2" s="37" t="s">
        <v>621</v>
      </c>
      <c r="JT2" s="37" t="s">
        <v>622</v>
      </c>
      <c r="JU2" s="37" t="s">
        <v>623</v>
      </c>
      <c r="JV2" s="37" t="s">
        <v>624</v>
      </c>
      <c r="JW2" s="37" t="s">
        <v>625</v>
      </c>
      <c r="JX2" s="37" t="s">
        <v>626</v>
      </c>
      <c r="JY2" s="37" t="s">
        <v>627</v>
      </c>
      <c r="JZ2" s="37" t="s">
        <v>628</v>
      </c>
      <c r="KA2" s="37" t="s">
        <v>629</v>
      </c>
      <c r="KB2" s="37" t="s">
        <v>630</v>
      </c>
      <c r="KC2" s="37" t="s">
        <v>631</v>
      </c>
      <c r="KD2" s="37" t="s">
        <v>632</v>
      </c>
      <c r="KE2" s="37" t="s">
        <v>633</v>
      </c>
      <c r="KF2" s="37" t="s">
        <v>634</v>
      </c>
      <c r="KG2" s="37" t="s">
        <v>635</v>
      </c>
      <c r="KH2" s="37" t="s">
        <v>636</v>
      </c>
      <c r="KI2" s="37" t="s">
        <v>637</v>
      </c>
      <c r="KJ2" s="37" t="s">
        <v>638</v>
      </c>
      <c r="KK2" s="37" t="s">
        <v>639</v>
      </c>
      <c r="KL2" s="37" t="s">
        <v>640</v>
      </c>
      <c r="KM2" s="37" t="s">
        <v>641</v>
      </c>
      <c r="KN2" s="37" t="s">
        <v>642</v>
      </c>
      <c r="KO2" s="37" t="s">
        <v>643</v>
      </c>
      <c r="KP2" s="37" t="s">
        <v>644</v>
      </c>
      <c r="KQ2" s="37" t="s">
        <v>645</v>
      </c>
      <c r="KR2" s="37" t="s">
        <v>646</v>
      </c>
      <c r="KS2" s="37" t="s">
        <v>647</v>
      </c>
      <c r="KT2" s="37" t="s">
        <v>648</v>
      </c>
      <c r="KU2" s="37" t="s">
        <v>649</v>
      </c>
      <c r="KV2" s="37" t="s">
        <v>650</v>
      </c>
      <c r="KW2" s="37" t="s">
        <v>651</v>
      </c>
      <c r="KX2" s="37" t="s">
        <v>652</v>
      </c>
      <c r="KY2" s="37" t="s">
        <v>653</v>
      </c>
      <c r="KZ2" s="37" t="s">
        <v>654</v>
      </c>
      <c r="LA2" s="37" t="s">
        <v>655</v>
      </c>
      <c r="LB2" s="37" t="s">
        <v>656</v>
      </c>
      <c r="LC2" s="37" t="s">
        <v>657</v>
      </c>
      <c r="LD2" s="37" t="s">
        <v>658</v>
      </c>
      <c r="LE2" s="37" t="s">
        <v>659</v>
      </c>
      <c r="LF2" s="37" t="s">
        <v>660</v>
      </c>
      <c r="LG2" s="37" t="s">
        <v>661</v>
      </c>
      <c r="LH2" s="37" t="s">
        <v>662</v>
      </c>
      <c r="LI2" s="37" t="s">
        <v>663</v>
      </c>
      <c r="LJ2" s="37" t="s">
        <v>664</v>
      </c>
      <c r="LK2" s="37" t="s">
        <v>665</v>
      </c>
      <c r="LL2" s="37" t="s">
        <v>666</v>
      </c>
      <c r="LM2" s="37" t="s">
        <v>667</v>
      </c>
      <c r="LN2" s="37" t="s">
        <v>668</v>
      </c>
      <c r="LO2" s="37" t="s">
        <v>669</v>
      </c>
      <c r="LP2" s="37" t="s">
        <v>670</v>
      </c>
      <c r="LQ2" s="37" t="s">
        <v>671</v>
      </c>
      <c r="LR2" s="37" t="s">
        <v>672</v>
      </c>
      <c r="LS2" s="37" t="s">
        <v>673</v>
      </c>
      <c r="LT2" s="37" t="s">
        <v>674</v>
      </c>
      <c r="LU2" s="37" t="s">
        <v>675</v>
      </c>
      <c r="LV2" s="37" t="s">
        <v>676</v>
      </c>
      <c r="LW2" s="37" t="s">
        <v>677</v>
      </c>
      <c r="LX2" s="37" t="s">
        <v>678</v>
      </c>
      <c r="LY2" s="37" t="s">
        <v>679</v>
      </c>
      <c r="LZ2" s="37" t="s">
        <v>680</v>
      </c>
      <c r="MA2" s="37" t="s">
        <v>681</v>
      </c>
      <c r="MB2" s="37" t="s">
        <v>682</v>
      </c>
      <c r="MC2" s="37" t="s">
        <v>683</v>
      </c>
      <c r="MD2" s="37" t="s">
        <v>684</v>
      </c>
      <c r="ME2" s="37" t="s">
        <v>685</v>
      </c>
      <c r="MF2" s="37" t="s">
        <v>686</v>
      </c>
      <c r="MG2" s="37" t="s">
        <v>687</v>
      </c>
      <c r="MH2" s="37" t="s">
        <v>688</v>
      </c>
      <c r="MI2" s="37" t="s">
        <v>689</v>
      </c>
      <c r="MJ2" s="37" t="s">
        <v>690</v>
      </c>
      <c r="MK2" s="37" t="s">
        <v>691</v>
      </c>
      <c r="ML2" s="37" t="s">
        <v>692</v>
      </c>
      <c r="MM2" s="37" t="s">
        <v>693</v>
      </c>
    </row>
    <row r="3" spans="1:351" ht="60" x14ac:dyDescent="0.25">
      <c r="A3" s="15">
        <v>2901</v>
      </c>
      <c r="B3" s="15" t="s">
        <v>813</v>
      </c>
      <c r="C3" s="27" t="s">
        <v>803</v>
      </c>
      <c r="D3" s="55">
        <v>3984479</v>
      </c>
      <c r="E3" s="2" t="s">
        <v>804</v>
      </c>
      <c r="F3" s="15">
        <v>7</v>
      </c>
      <c r="G3" s="15">
        <v>7</v>
      </c>
      <c r="H3" s="15">
        <v>7</v>
      </c>
      <c r="I3" s="15">
        <v>19</v>
      </c>
      <c r="J3" s="15">
        <v>19</v>
      </c>
      <c r="K3" s="15">
        <v>19</v>
      </c>
      <c r="L3" s="15" t="s">
        <v>701</v>
      </c>
      <c r="M3" s="19" t="s">
        <v>805</v>
      </c>
      <c r="N3" s="15">
        <v>377</v>
      </c>
      <c r="O3" s="27">
        <v>80</v>
      </c>
      <c r="P3" s="15">
        <v>0</v>
      </c>
      <c r="Q3" s="15" t="s">
        <v>697</v>
      </c>
      <c r="R3" s="15" t="s">
        <v>698</v>
      </c>
      <c r="S3" s="15" t="s">
        <v>697</v>
      </c>
      <c r="T3" s="15">
        <v>40</v>
      </c>
      <c r="U3" s="15">
        <f>1000</f>
        <v>1000</v>
      </c>
      <c r="V3" s="15" t="s">
        <v>697</v>
      </c>
      <c r="W3" s="15" t="s">
        <v>697</v>
      </c>
      <c r="X3" s="15" t="s">
        <v>697</v>
      </c>
      <c r="Y3" s="15" t="s">
        <v>697</v>
      </c>
      <c r="Z3" s="15" t="s">
        <v>697</v>
      </c>
      <c r="AA3" s="15" t="s">
        <v>697</v>
      </c>
      <c r="AB3" s="15" t="s">
        <v>697</v>
      </c>
      <c r="AC3" s="15" t="s">
        <v>697</v>
      </c>
      <c r="AD3" s="15" t="s">
        <v>697</v>
      </c>
      <c r="AE3" s="15" t="s">
        <v>697</v>
      </c>
      <c r="AF3" s="5">
        <v>26940000</v>
      </c>
      <c r="AG3" s="20">
        <v>4393028</v>
      </c>
      <c r="AH3" s="15" t="s">
        <v>697</v>
      </c>
      <c r="AI3" s="15" t="s">
        <v>697</v>
      </c>
      <c r="AJ3" s="15" t="s">
        <v>697</v>
      </c>
      <c r="AK3" s="15" t="s">
        <v>697</v>
      </c>
      <c r="AL3" s="15" t="s">
        <v>697</v>
      </c>
      <c r="AM3" s="15">
        <v>8</v>
      </c>
      <c r="AN3" s="15">
        <v>4.75</v>
      </c>
      <c r="AO3" s="15" t="s">
        <v>697</v>
      </c>
      <c r="AP3" s="15" t="s">
        <v>697</v>
      </c>
      <c r="AQ3" s="15" t="s">
        <v>697</v>
      </c>
      <c r="AR3" s="15" t="s">
        <v>697</v>
      </c>
      <c r="AS3" s="15">
        <v>0</v>
      </c>
      <c r="AT3" s="15">
        <v>2</v>
      </c>
      <c r="AU3" s="15">
        <v>0</v>
      </c>
      <c r="AV3" s="15">
        <v>3</v>
      </c>
      <c r="AW3" s="15">
        <v>19</v>
      </c>
      <c r="AX3" s="15">
        <v>19</v>
      </c>
      <c r="AY3" s="15">
        <v>19</v>
      </c>
      <c r="AZ3" s="15">
        <v>19</v>
      </c>
      <c r="BA3" s="27" t="s">
        <v>701</v>
      </c>
      <c r="BB3" s="15" t="s">
        <v>698</v>
      </c>
      <c r="BC3" s="15" t="s">
        <v>751</v>
      </c>
      <c r="BD3" s="15" t="s">
        <v>709</v>
      </c>
      <c r="BE3" s="15" t="s">
        <v>701</v>
      </c>
      <c r="BF3" s="21" t="s">
        <v>697</v>
      </c>
      <c r="BG3" s="22" t="s">
        <v>697</v>
      </c>
      <c r="BH3" s="15" t="s">
        <v>697</v>
      </c>
      <c r="BI3" s="15" t="s">
        <v>697</v>
      </c>
      <c r="BJ3" s="15" t="s">
        <v>697</v>
      </c>
      <c r="BK3" s="15" t="s">
        <v>697</v>
      </c>
      <c r="BL3" s="22">
        <v>1</v>
      </c>
      <c r="BM3" s="15" t="s">
        <v>697</v>
      </c>
      <c r="BN3" s="15" t="s">
        <v>697</v>
      </c>
      <c r="BO3" s="15" t="s">
        <v>697</v>
      </c>
      <c r="BP3" s="15" t="s">
        <v>697</v>
      </c>
      <c r="BQ3" s="15" t="s">
        <v>697</v>
      </c>
      <c r="BR3" s="15" t="s">
        <v>697</v>
      </c>
      <c r="BS3" s="22">
        <v>1.6999999999999999E-3</v>
      </c>
      <c r="BT3" s="15" t="s">
        <v>697</v>
      </c>
      <c r="BU3" s="15" t="s">
        <v>697</v>
      </c>
      <c r="BV3" s="15" t="s">
        <v>697</v>
      </c>
      <c r="BW3" s="15" t="s">
        <v>697</v>
      </c>
      <c r="BX3" s="15" t="s">
        <v>697</v>
      </c>
      <c r="BY3" s="15" t="s">
        <v>806</v>
      </c>
      <c r="BZ3" s="23">
        <v>4.3</v>
      </c>
      <c r="CA3" s="23">
        <v>4.0999999999999996</v>
      </c>
      <c r="CB3" s="15" t="s">
        <v>807</v>
      </c>
      <c r="CC3" s="23">
        <v>6.1</v>
      </c>
      <c r="CD3" s="23">
        <v>5.8</v>
      </c>
      <c r="CE3" s="15" t="s">
        <v>808</v>
      </c>
      <c r="CF3" s="23">
        <v>4.3</v>
      </c>
      <c r="CG3" s="23">
        <v>4.0999999999999996</v>
      </c>
      <c r="CH3" s="24">
        <v>44312</v>
      </c>
      <c r="CI3" s="23">
        <v>4.0999999999999996</v>
      </c>
      <c r="CJ3" s="29">
        <v>3.9</v>
      </c>
      <c r="CK3" s="32">
        <v>44312</v>
      </c>
      <c r="CL3" s="15" t="s">
        <v>697</v>
      </c>
      <c r="CM3" s="15" t="s">
        <v>697</v>
      </c>
      <c r="CN3" s="15" t="s">
        <v>697</v>
      </c>
      <c r="CO3" s="15" t="s">
        <v>697</v>
      </c>
      <c r="CP3" s="15" t="s">
        <v>697</v>
      </c>
      <c r="CQ3" s="15" t="s">
        <v>697</v>
      </c>
      <c r="CR3" s="15" t="s">
        <v>697</v>
      </c>
      <c r="CS3" s="15" t="s">
        <v>697</v>
      </c>
      <c r="CT3" s="15" t="s">
        <v>697</v>
      </c>
      <c r="CU3" s="15" t="s">
        <v>697</v>
      </c>
      <c r="CV3" s="15" t="s">
        <v>697</v>
      </c>
      <c r="CW3" s="15" t="s">
        <v>697</v>
      </c>
      <c r="CX3" s="15" t="s">
        <v>697</v>
      </c>
      <c r="CY3" s="15" t="s">
        <v>697</v>
      </c>
      <c r="CZ3" s="15" t="s">
        <v>697</v>
      </c>
      <c r="DA3" s="40" t="s">
        <v>701</v>
      </c>
      <c r="DB3" s="40" t="s">
        <v>703</v>
      </c>
      <c r="DC3" s="23">
        <v>93829114.480000004</v>
      </c>
      <c r="DD3" s="23">
        <v>0</v>
      </c>
      <c r="DE3" s="23">
        <v>0</v>
      </c>
      <c r="DF3" s="23">
        <v>0</v>
      </c>
      <c r="DG3" s="23">
        <v>162628863.16999999</v>
      </c>
      <c r="DH3" s="23">
        <v>0</v>
      </c>
      <c r="DI3" s="23">
        <v>0</v>
      </c>
      <c r="DJ3" s="23">
        <v>4000000</v>
      </c>
      <c r="DK3" s="15" t="s">
        <v>697</v>
      </c>
      <c r="DL3" s="15" t="s">
        <v>697</v>
      </c>
      <c r="DM3" s="15" t="s">
        <v>697</v>
      </c>
      <c r="DN3" s="15" t="s">
        <v>697</v>
      </c>
      <c r="DO3" s="15" t="s">
        <v>697</v>
      </c>
      <c r="DP3" s="15" t="s">
        <v>697</v>
      </c>
      <c r="DQ3" s="15" t="s">
        <v>697</v>
      </c>
      <c r="DR3" s="15" t="s">
        <v>697</v>
      </c>
      <c r="DS3" s="15" t="s">
        <v>697</v>
      </c>
      <c r="DT3" s="15" t="s">
        <v>697</v>
      </c>
      <c r="DU3" s="15" t="s">
        <v>697</v>
      </c>
      <c r="DV3" s="15" t="s">
        <v>697</v>
      </c>
      <c r="DW3" s="15" t="s">
        <v>697</v>
      </c>
      <c r="DX3" s="15" t="s">
        <v>697</v>
      </c>
      <c r="DY3" s="15" t="s">
        <v>697</v>
      </c>
      <c r="DZ3" s="15" t="s">
        <v>697</v>
      </c>
      <c r="EA3" s="15" t="s">
        <v>697</v>
      </c>
      <c r="EB3" s="15" t="s">
        <v>697</v>
      </c>
      <c r="EC3" s="15" t="s">
        <v>697</v>
      </c>
      <c r="ED3" s="15" t="s">
        <v>697</v>
      </c>
      <c r="EE3" s="40" t="s">
        <v>763</v>
      </c>
      <c r="EF3" s="40" t="s">
        <v>697</v>
      </c>
      <c r="EG3" s="40" t="s">
        <v>697</v>
      </c>
      <c r="EH3" s="41">
        <v>0.05</v>
      </c>
      <c r="EI3" s="42">
        <v>6.4999999999999997E-3</v>
      </c>
      <c r="EJ3" s="43" t="s">
        <v>850</v>
      </c>
      <c r="EK3" s="40" t="s">
        <v>851</v>
      </c>
      <c r="EL3" s="15" t="s">
        <v>809</v>
      </c>
      <c r="EM3" s="15" t="s">
        <v>697</v>
      </c>
      <c r="EN3" s="15" t="s">
        <v>697</v>
      </c>
      <c r="EO3" s="21">
        <v>0</v>
      </c>
      <c r="EP3" s="21">
        <v>0</v>
      </c>
      <c r="EQ3" s="15" t="s">
        <v>810</v>
      </c>
      <c r="ER3" s="21">
        <v>0</v>
      </c>
      <c r="ES3" s="15" t="s">
        <v>697</v>
      </c>
      <c r="ET3" s="15" t="s">
        <v>697</v>
      </c>
      <c r="EU3" s="15" t="s">
        <v>697</v>
      </c>
      <c r="EV3" s="15" t="s">
        <v>697</v>
      </c>
      <c r="EW3" s="15" t="s">
        <v>697</v>
      </c>
      <c r="EX3" s="15" t="s">
        <v>697</v>
      </c>
      <c r="EY3" s="15" t="s">
        <v>697</v>
      </c>
      <c r="EZ3" s="15" t="s">
        <v>697</v>
      </c>
      <c r="FA3" s="15" t="s">
        <v>697</v>
      </c>
      <c r="FB3" s="15" t="s">
        <v>697</v>
      </c>
      <c r="FC3" s="15" t="s">
        <v>697</v>
      </c>
      <c r="FD3" s="15" t="s">
        <v>697</v>
      </c>
      <c r="FE3" s="15" t="s">
        <v>697</v>
      </c>
      <c r="FF3" s="15" t="s">
        <v>697</v>
      </c>
      <c r="FG3" s="15" t="s">
        <v>697</v>
      </c>
      <c r="FH3" s="15" t="s">
        <v>697</v>
      </c>
      <c r="FI3" s="15" t="s">
        <v>697</v>
      </c>
      <c r="FJ3" s="15" t="s">
        <v>697</v>
      </c>
      <c r="FK3" s="15" t="s">
        <v>697</v>
      </c>
      <c r="FL3" s="15" t="s">
        <v>697</v>
      </c>
      <c r="FM3" s="15" t="s">
        <v>697</v>
      </c>
      <c r="FN3" s="15" t="s">
        <v>697</v>
      </c>
      <c r="FO3" s="15" t="s">
        <v>697</v>
      </c>
      <c r="FP3" s="15" t="s">
        <v>697</v>
      </c>
      <c r="FQ3" s="15" t="s">
        <v>697</v>
      </c>
      <c r="FR3" s="15" t="s">
        <v>697</v>
      </c>
      <c r="FS3" s="15" t="s">
        <v>697</v>
      </c>
      <c r="FT3" s="15" t="s">
        <v>697</v>
      </c>
      <c r="FU3" s="15" t="s">
        <v>697</v>
      </c>
      <c r="FV3" s="15" t="s">
        <v>697</v>
      </c>
      <c r="FW3" s="15" t="s">
        <v>697</v>
      </c>
      <c r="FX3" s="15" t="s">
        <v>697</v>
      </c>
      <c r="FY3" s="15" t="s">
        <v>697</v>
      </c>
      <c r="FZ3" s="15" t="s">
        <v>697</v>
      </c>
      <c r="GA3" s="15" t="s">
        <v>697</v>
      </c>
      <c r="GB3" s="20">
        <v>11141446</v>
      </c>
      <c r="GC3" s="20">
        <v>6730296</v>
      </c>
      <c r="GD3" s="20">
        <v>217470</v>
      </c>
      <c r="GE3" s="20">
        <v>10725129</v>
      </c>
      <c r="GF3" s="20">
        <v>212903</v>
      </c>
      <c r="GG3" s="20">
        <v>28923076</v>
      </c>
      <c r="GH3" s="20">
        <v>33652484</v>
      </c>
      <c r="GI3" s="20">
        <v>20873870</v>
      </c>
      <c r="GJ3" s="20">
        <v>4179592</v>
      </c>
      <c r="GK3" s="20">
        <v>45502396</v>
      </c>
      <c r="GL3" s="20">
        <v>3696158</v>
      </c>
      <c r="GM3" s="20">
        <v>62402104</v>
      </c>
      <c r="GN3" s="15" t="s">
        <v>697</v>
      </c>
      <c r="GO3" s="15" t="s">
        <v>697</v>
      </c>
      <c r="GP3" s="15" t="s">
        <v>697</v>
      </c>
      <c r="GQ3" s="15" t="s">
        <v>697</v>
      </c>
      <c r="GR3" s="15" t="s">
        <v>697</v>
      </c>
      <c r="GS3" s="15" t="s">
        <v>697</v>
      </c>
      <c r="GT3" s="15" t="s">
        <v>697</v>
      </c>
      <c r="GU3" s="15" t="s">
        <v>697</v>
      </c>
      <c r="GV3" s="15" t="s">
        <v>697</v>
      </c>
      <c r="GW3" s="15" t="s">
        <v>697</v>
      </c>
      <c r="GX3" s="15" t="s">
        <v>697</v>
      </c>
      <c r="GY3" s="15" t="s">
        <v>697</v>
      </c>
      <c r="GZ3" s="15" t="s">
        <v>697</v>
      </c>
      <c r="HA3" s="15" t="s">
        <v>697</v>
      </c>
      <c r="HB3" s="15" t="s">
        <v>697</v>
      </c>
      <c r="HC3" s="15" t="s">
        <v>697</v>
      </c>
      <c r="HD3" s="15" t="s">
        <v>697</v>
      </c>
      <c r="HE3" s="15" t="s">
        <v>697</v>
      </c>
      <c r="HF3" s="15" t="s">
        <v>697</v>
      </c>
      <c r="HG3" s="15" t="s">
        <v>697</v>
      </c>
      <c r="HH3" s="15" t="s">
        <v>697</v>
      </c>
      <c r="HI3" s="15" t="s">
        <v>697</v>
      </c>
      <c r="HJ3" s="15" t="s">
        <v>697</v>
      </c>
      <c r="HK3" s="15" t="s">
        <v>697</v>
      </c>
      <c r="HL3" s="15" t="s">
        <v>697</v>
      </c>
      <c r="HM3" s="15" t="s">
        <v>697</v>
      </c>
      <c r="HN3" s="15" t="s">
        <v>697</v>
      </c>
      <c r="HO3" s="15" t="s">
        <v>697</v>
      </c>
      <c r="HP3" s="15" t="s">
        <v>697</v>
      </c>
      <c r="HQ3" s="15" t="s">
        <v>697</v>
      </c>
      <c r="HR3" s="27" t="s">
        <v>852</v>
      </c>
      <c r="HS3" s="15" t="s">
        <v>697</v>
      </c>
      <c r="HT3" s="15" t="s">
        <v>697</v>
      </c>
      <c r="HU3" s="15" t="s">
        <v>697</v>
      </c>
      <c r="HV3" s="21">
        <v>1</v>
      </c>
      <c r="HW3" s="21">
        <v>0.5</v>
      </c>
      <c r="HX3" s="21">
        <v>0.5</v>
      </c>
      <c r="HY3" s="40" t="s">
        <v>701</v>
      </c>
      <c r="HZ3" s="40" t="s">
        <v>698</v>
      </c>
      <c r="IA3" s="40" t="s">
        <v>698</v>
      </c>
      <c r="IB3" s="40" t="s">
        <v>698</v>
      </c>
      <c r="IC3" s="40" t="s">
        <v>698</v>
      </c>
      <c r="ID3" s="40" t="s">
        <v>698</v>
      </c>
      <c r="IE3" s="40" t="s">
        <v>698</v>
      </c>
      <c r="IF3" s="40" t="s">
        <v>698</v>
      </c>
      <c r="IG3" s="40" t="s">
        <v>698</v>
      </c>
      <c r="IH3" s="40" t="s">
        <v>698</v>
      </c>
      <c r="II3" s="40" t="s">
        <v>701</v>
      </c>
      <c r="IJ3" s="21">
        <v>0.28000000000000003</v>
      </c>
      <c r="IK3" s="21">
        <v>0.05</v>
      </c>
      <c r="IL3" s="21">
        <v>0</v>
      </c>
      <c r="IM3" s="21">
        <v>0.06</v>
      </c>
      <c r="IN3" s="21">
        <v>0.09</v>
      </c>
      <c r="IO3" s="21">
        <v>0.04</v>
      </c>
      <c r="IP3" s="21">
        <v>0</v>
      </c>
      <c r="IQ3" s="21">
        <v>0.09</v>
      </c>
      <c r="IR3" s="21">
        <v>0.09</v>
      </c>
      <c r="IS3" s="21">
        <v>0</v>
      </c>
      <c r="IT3" s="21">
        <v>0</v>
      </c>
      <c r="IU3" s="21">
        <v>0.3</v>
      </c>
      <c r="IV3" s="15" t="s">
        <v>697</v>
      </c>
      <c r="IW3" s="15" t="s">
        <v>697</v>
      </c>
      <c r="IX3" s="15" t="s">
        <v>697</v>
      </c>
      <c r="IY3" s="15" t="s">
        <v>697</v>
      </c>
      <c r="IZ3" s="15" t="s">
        <v>697</v>
      </c>
      <c r="JA3" s="15" t="s">
        <v>697</v>
      </c>
      <c r="JB3" s="15" t="s">
        <v>697</v>
      </c>
      <c r="JC3" s="15" t="s">
        <v>697</v>
      </c>
      <c r="JD3" s="15" t="s">
        <v>697</v>
      </c>
      <c r="JE3" s="15" t="s">
        <v>697</v>
      </c>
      <c r="JF3" s="15" t="s">
        <v>697</v>
      </c>
      <c r="JG3" s="15" t="s">
        <v>697</v>
      </c>
      <c r="JH3" s="15" t="s">
        <v>697</v>
      </c>
      <c r="JI3" s="15" t="s">
        <v>697</v>
      </c>
      <c r="JJ3" s="15" t="s">
        <v>697</v>
      </c>
      <c r="JK3" s="15" t="s">
        <v>697</v>
      </c>
      <c r="JL3" s="15" t="s">
        <v>697</v>
      </c>
      <c r="JM3" s="15" t="s">
        <v>697</v>
      </c>
      <c r="JN3" s="15" t="s">
        <v>697</v>
      </c>
      <c r="JO3" s="15" t="s">
        <v>697</v>
      </c>
      <c r="JP3" s="15" t="s">
        <v>697</v>
      </c>
      <c r="JQ3" s="15" t="s">
        <v>697</v>
      </c>
      <c r="JR3" s="15" t="s">
        <v>697</v>
      </c>
      <c r="JS3" s="15" t="s">
        <v>697</v>
      </c>
      <c r="JT3" s="15" t="s">
        <v>697</v>
      </c>
      <c r="JU3" s="15" t="s">
        <v>697</v>
      </c>
      <c r="JV3" s="15" t="s">
        <v>697</v>
      </c>
      <c r="JW3" s="15" t="s">
        <v>697</v>
      </c>
      <c r="JX3" s="15" t="s">
        <v>697</v>
      </c>
      <c r="JY3" s="15" t="s">
        <v>697</v>
      </c>
      <c r="JZ3" s="15" t="s">
        <v>697</v>
      </c>
      <c r="KA3" s="15" t="s">
        <v>697</v>
      </c>
      <c r="KB3" s="15" t="s">
        <v>697</v>
      </c>
      <c r="KC3" s="15" t="s">
        <v>697</v>
      </c>
      <c r="KD3" s="15" t="s">
        <v>697</v>
      </c>
      <c r="KE3" s="15" t="s">
        <v>697</v>
      </c>
      <c r="KF3" s="15" t="s">
        <v>697</v>
      </c>
      <c r="KG3" s="15" t="s">
        <v>697</v>
      </c>
      <c r="KH3" s="15" t="s">
        <v>697</v>
      </c>
      <c r="KI3" s="15" t="s">
        <v>697</v>
      </c>
      <c r="KJ3" s="15" t="s">
        <v>697</v>
      </c>
      <c r="KK3" s="15" t="s">
        <v>697</v>
      </c>
      <c r="KL3" s="15" t="s">
        <v>697</v>
      </c>
      <c r="KM3" s="15" t="s">
        <v>697</v>
      </c>
      <c r="KN3" s="15" t="s">
        <v>697</v>
      </c>
      <c r="KO3" s="15" t="s">
        <v>697</v>
      </c>
      <c r="KP3" s="15" t="s">
        <v>697</v>
      </c>
      <c r="KQ3" s="15" t="s">
        <v>697</v>
      </c>
      <c r="KR3" s="15" t="s">
        <v>697</v>
      </c>
      <c r="KS3" s="15" t="s">
        <v>697</v>
      </c>
      <c r="KT3" s="15" t="s">
        <v>697</v>
      </c>
      <c r="KU3" s="15" t="s">
        <v>697</v>
      </c>
      <c r="KV3" s="15" t="s">
        <v>697</v>
      </c>
      <c r="KW3" s="15" t="s">
        <v>697</v>
      </c>
      <c r="KX3" s="15" t="s">
        <v>697</v>
      </c>
      <c r="KY3" s="15" t="s">
        <v>697</v>
      </c>
      <c r="KZ3" s="15" t="s">
        <v>697</v>
      </c>
      <c r="LA3" s="15" t="s">
        <v>697</v>
      </c>
      <c r="LB3" s="15" t="s">
        <v>697</v>
      </c>
      <c r="LC3" s="15" t="s">
        <v>697</v>
      </c>
      <c r="LD3" s="15" t="s">
        <v>697</v>
      </c>
      <c r="LE3" s="15" t="s">
        <v>697</v>
      </c>
      <c r="LF3" s="40" t="s">
        <v>709</v>
      </c>
      <c r="LG3" s="40" t="s">
        <v>697</v>
      </c>
      <c r="LH3" s="40" t="s">
        <v>709</v>
      </c>
      <c r="LI3" s="40" t="s">
        <v>697</v>
      </c>
      <c r="LJ3" s="40" t="s">
        <v>701</v>
      </c>
      <c r="LK3" s="40">
        <v>2012</v>
      </c>
      <c r="LL3" s="40" t="s">
        <v>820</v>
      </c>
      <c r="LM3" s="27" t="s">
        <v>731</v>
      </c>
      <c r="LN3" s="40" t="s">
        <v>698</v>
      </c>
      <c r="LO3" s="40" t="s">
        <v>698</v>
      </c>
      <c r="LP3" s="40" t="s">
        <v>698</v>
      </c>
      <c r="LQ3" s="40" t="s">
        <v>698</v>
      </c>
      <c r="LR3" s="40" t="s">
        <v>698</v>
      </c>
      <c r="LS3" s="40" t="s">
        <v>698</v>
      </c>
      <c r="LT3" s="40" t="s">
        <v>698</v>
      </c>
      <c r="LU3" s="40" t="s">
        <v>698</v>
      </c>
      <c r="LV3" s="40" t="s">
        <v>698</v>
      </c>
      <c r="LW3" s="40" t="s">
        <v>698</v>
      </c>
      <c r="LX3" s="15" t="s">
        <v>709</v>
      </c>
      <c r="LY3" s="15" t="s">
        <v>697</v>
      </c>
      <c r="LZ3" s="15" t="s">
        <v>697</v>
      </c>
      <c r="MA3" s="15" t="s">
        <v>697</v>
      </c>
      <c r="MB3" s="15" t="s">
        <v>697</v>
      </c>
      <c r="MC3" s="15" t="s">
        <v>697</v>
      </c>
      <c r="MD3" s="15" t="s">
        <v>697</v>
      </c>
      <c r="ME3" s="27" t="s">
        <v>710</v>
      </c>
      <c r="MF3" s="27" t="s">
        <v>711</v>
      </c>
      <c r="MG3" s="2" t="s">
        <v>853</v>
      </c>
      <c r="MH3" s="15" t="s">
        <v>709</v>
      </c>
      <c r="MI3" s="15" t="s">
        <v>697</v>
      </c>
      <c r="MJ3" s="15" t="s">
        <v>697</v>
      </c>
      <c r="MK3" s="15" t="s">
        <v>697</v>
      </c>
      <c r="ML3" s="44" t="s">
        <v>812</v>
      </c>
      <c r="MM3" s="15" t="s">
        <v>697</v>
      </c>
    </row>
    <row r="4" spans="1:351" ht="45" x14ac:dyDescent="0.25">
      <c r="A4" s="27">
        <v>5301</v>
      </c>
      <c r="B4" s="27" t="s">
        <v>736</v>
      </c>
      <c r="C4" s="27" t="s">
        <v>737</v>
      </c>
      <c r="D4" s="55">
        <v>4758469</v>
      </c>
      <c r="E4" s="27" t="s">
        <v>700</v>
      </c>
      <c r="F4" s="27" t="s">
        <v>698</v>
      </c>
      <c r="G4" s="27" t="s">
        <v>738</v>
      </c>
      <c r="H4" s="27" t="s">
        <v>698</v>
      </c>
      <c r="I4" s="27" t="s">
        <v>697</v>
      </c>
      <c r="J4" s="27" t="s">
        <v>697</v>
      </c>
      <c r="K4" s="27" t="s">
        <v>697</v>
      </c>
      <c r="L4" s="27" t="s">
        <v>697</v>
      </c>
      <c r="M4" s="27" t="s">
        <v>697</v>
      </c>
      <c r="N4" s="27">
        <v>775</v>
      </c>
      <c r="O4" s="27">
        <v>80</v>
      </c>
      <c r="P4" s="27">
        <v>0</v>
      </c>
      <c r="Q4" s="27" t="s">
        <v>698</v>
      </c>
      <c r="R4" s="27" t="s">
        <v>738</v>
      </c>
      <c r="S4" s="27" t="s">
        <v>698</v>
      </c>
      <c r="T4" s="27" t="s">
        <v>697</v>
      </c>
      <c r="U4" s="27" t="s">
        <v>697</v>
      </c>
      <c r="V4" s="27" t="s">
        <v>697</v>
      </c>
      <c r="W4" s="27" t="s">
        <v>697</v>
      </c>
      <c r="X4" s="27" t="s">
        <v>697</v>
      </c>
      <c r="Y4" s="27" t="s">
        <v>697</v>
      </c>
      <c r="Z4" s="27" t="s">
        <v>697</v>
      </c>
      <c r="AA4" s="27" t="s">
        <v>697</v>
      </c>
      <c r="AB4" s="27" t="s">
        <v>697</v>
      </c>
      <c r="AC4" s="27" t="s">
        <v>697</v>
      </c>
      <c r="AD4" s="27" t="s">
        <v>697</v>
      </c>
      <c r="AE4" s="27" t="s">
        <v>697</v>
      </c>
      <c r="AF4" s="5" t="s">
        <v>738</v>
      </c>
      <c r="AG4" s="27" t="s">
        <v>697</v>
      </c>
      <c r="AH4" s="27" t="s">
        <v>697</v>
      </c>
      <c r="AI4" s="27" t="s">
        <v>697</v>
      </c>
      <c r="AJ4" s="27" t="s">
        <v>697</v>
      </c>
      <c r="AK4" s="27" t="s">
        <v>697</v>
      </c>
      <c r="AL4" s="27" t="s">
        <v>697</v>
      </c>
      <c r="AM4" s="27">
        <v>9</v>
      </c>
      <c r="AN4" s="27" t="s">
        <v>697</v>
      </c>
      <c r="AO4" s="27" t="s">
        <v>697</v>
      </c>
      <c r="AP4" s="27" t="s">
        <v>697</v>
      </c>
      <c r="AQ4" s="27" t="s">
        <v>697</v>
      </c>
      <c r="AR4" s="27" t="s">
        <v>697</v>
      </c>
      <c r="AS4" s="27" t="s">
        <v>738</v>
      </c>
      <c r="AT4" s="27" t="s">
        <v>738</v>
      </c>
      <c r="AU4" s="27">
        <v>0</v>
      </c>
      <c r="AV4" s="27" t="s">
        <v>738</v>
      </c>
      <c r="AW4" s="27" t="s">
        <v>697</v>
      </c>
      <c r="AX4" s="27" t="s">
        <v>697</v>
      </c>
      <c r="AY4" s="27" t="s">
        <v>697</v>
      </c>
      <c r="AZ4" s="27" t="s">
        <v>697</v>
      </c>
      <c r="BA4" s="27" t="s">
        <v>698</v>
      </c>
      <c r="BB4" s="27" t="s">
        <v>697</v>
      </c>
      <c r="BC4" s="27" t="s">
        <v>697</v>
      </c>
      <c r="BD4" s="27" t="s">
        <v>701</v>
      </c>
      <c r="BE4" s="33">
        <v>1</v>
      </c>
      <c r="BF4" s="33">
        <v>0</v>
      </c>
      <c r="BG4" s="27" t="s">
        <v>697</v>
      </c>
      <c r="BH4" s="27" t="s">
        <v>698</v>
      </c>
      <c r="BI4" s="27" t="s">
        <v>698</v>
      </c>
      <c r="BJ4" s="27" t="s">
        <v>697</v>
      </c>
      <c r="BK4" s="27" t="s">
        <v>698</v>
      </c>
      <c r="BL4" s="27" t="s">
        <v>698</v>
      </c>
      <c r="BM4" s="27" t="s">
        <v>697</v>
      </c>
      <c r="BN4" s="27" t="s">
        <v>698</v>
      </c>
      <c r="BO4" s="27" t="s">
        <v>698</v>
      </c>
      <c r="BP4" s="27" t="s">
        <v>697</v>
      </c>
      <c r="BQ4" s="27" t="s">
        <v>698</v>
      </c>
      <c r="BR4" s="27" t="s">
        <v>698</v>
      </c>
      <c r="BS4" s="27" t="s">
        <v>697</v>
      </c>
      <c r="BT4" s="27" t="s">
        <v>698</v>
      </c>
      <c r="BU4" s="27" t="s">
        <v>698</v>
      </c>
      <c r="BV4" s="27" t="s">
        <v>697</v>
      </c>
      <c r="BW4" s="27" t="s">
        <v>698</v>
      </c>
      <c r="BX4" s="27" t="s">
        <v>698</v>
      </c>
      <c r="BY4" s="27" t="s">
        <v>739</v>
      </c>
      <c r="BZ4" s="27">
        <v>7.8</v>
      </c>
      <c r="CA4" s="27">
        <v>7.45</v>
      </c>
      <c r="CB4" s="27" t="s">
        <v>740</v>
      </c>
      <c r="CC4" s="27">
        <v>6</v>
      </c>
      <c r="CD4" s="27">
        <v>5.8</v>
      </c>
      <c r="CE4" s="27" t="s">
        <v>741</v>
      </c>
      <c r="CF4" s="27">
        <v>7.4</v>
      </c>
      <c r="CG4" s="27">
        <v>7.15</v>
      </c>
      <c r="CH4" s="34">
        <v>44228</v>
      </c>
      <c r="CI4" s="27" t="s">
        <v>697</v>
      </c>
      <c r="CJ4" s="27" t="s">
        <v>697</v>
      </c>
      <c r="CK4" s="27" t="s">
        <v>697</v>
      </c>
      <c r="CL4" s="27" t="s">
        <v>697</v>
      </c>
      <c r="CM4" s="27" t="s">
        <v>697</v>
      </c>
      <c r="CN4" s="27" t="s">
        <v>697</v>
      </c>
      <c r="CO4" s="27" t="s">
        <v>697</v>
      </c>
      <c r="CP4" s="27" t="s">
        <v>697</v>
      </c>
      <c r="CQ4" s="27" t="s">
        <v>697</v>
      </c>
      <c r="CR4" s="27" t="s">
        <v>697</v>
      </c>
      <c r="CS4" s="27" t="s">
        <v>697</v>
      </c>
      <c r="CT4" s="27" t="s">
        <v>697</v>
      </c>
      <c r="CU4" s="27" t="s">
        <v>697</v>
      </c>
      <c r="CV4" s="27" t="s">
        <v>697</v>
      </c>
      <c r="CW4" s="27" t="s">
        <v>697</v>
      </c>
      <c r="CX4" s="27" t="s">
        <v>697</v>
      </c>
      <c r="CY4" s="27" t="s">
        <v>697</v>
      </c>
      <c r="CZ4" s="27" t="s">
        <v>697</v>
      </c>
      <c r="DA4" s="27" t="s">
        <v>697</v>
      </c>
      <c r="DB4" s="27" t="s">
        <v>697</v>
      </c>
      <c r="DC4" s="27">
        <v>0</v>
      </c>
      <c r="DD4" s="27" t="s">
        <v>698</v>
      </c>
      <c r="DE4" s="27" t="s">
        <v>698</v>
      </c>
      <c r="DF4" s="27" t="s">
        <v>698</v>
      </c>
      <c r="DG4" s="27" t="s">
        <v>697</v>
      </c>
      <c r="DH4" s="27" t="s">
        <v>697</v>
      </c>
      <c r="DI4" s="27" t="s">
        <v>697</v>
      </c>
      <c r="DJ4" s="27" t="s">
        <v>697</v>
      </c>
      <c r="DK4" s="27" t="s">
        <v>697</v>
      </c>
      <c r="DL4" s="27" t="s">
        <v>697</v>
      </c>
      <c r="DM4" s="27" t="s">
        <v>697</v>
      </c>
      <c r="DN4" s="27" t="s">
        <v>697</v>
      </c>
      <c r="DO4" s="27" t="s">
        <v>697</v>
      </c>
      <c r="DP4" s="27" t="s">
        <v>697</v>
      </c>
      <c r="DQ4" s="27" t="s">
        <v>697</v>
      </c>
      <c r="DR4" s="27" t="s">
        <v>697</v>
      </c>
      <c r="DS4" s="27" t="s">
        <v>697</v>
      </c>
      <c r="DT4" s="27" t="s">
        <v>697</v>
      </c>
      <c r="DU4" s="27" t="s">
        <v>697</v>
      </c>
      <c r="DV4" s="27" t="s">
        <v>697</v>
      </c>
      <c r="DW4" s="27" t="s">
        <v>697</v>
      </c>
      <c r="DX4" s="27" t="s">
        <v>697</v>
      </c>
      <c r="DY4" s="27" t="s">
        <v>697</v>
      </c>
      <c r="DZ4" s="27" t="s">
        <v>697</v>
      </c>
      <c r="EA4" s="27" t="s">
        <v>697</v>
      </c>
      <c r="EB4" s="27" t="s">
        <v>697</v>
      </c>
      <c r="EC4" s="27" t="s">
        <v>697</v>
      </c>
      <c r="ED4" s="27" t="s">
        <v>697</v>
      </c>
      <c r="EE4" s="27" t="s">
        <v>742</v>
      </c>
      <c r="EF4" s="33">
        <v>0</v>
      </c>
      <c r="EG4" s="27" t="s">
        <v>697</v>
      </c>
      <c r="EH4" s="33">
        <v>0</v>
      </c>
      <c r="EI4" s="33">
        <v>0.03</v>
      </c>
      <c r="EJ4" s="27" t="s">
        <v>697</v>
      </c>
      <c r="EK4" s="27" t="s">
        <v>697</v>
      </c>
      <c r="EL4" s="27" t="s">
        <v>697</v>
      </c>
      <c r="EM4" s="27" t="s">
        <v>698</v>
      </c>
      <c r="EN4" s="27" t="s">
        <v>698</v>
      </c>
      <c r="EO4" s="27" t="s">
        <v>698</v>
      </c>
      <c r="EP4" s="27" t="s">
        <v>698</v>
      </c>
      <c r="EQ4" s="27" t="s">
        <v>698</v>
      </c>
      <c r="ER4" s="27" t="s">
        <v>698</v>
      </c>
      <c r="ES4" s="27" t="s">
        <v>697</v>
      </c>
      <c r="ET4" s="27" t="s">
        <v>698</v>
      </c>
      <c r="EU4" s="27" t="s">
        <v>698</v>
      </c>
      <c r="EV4" s="27" t="s">
        <v>698</v>
      </c>
      <c r="EW4" s="27" t="s">
        <v>698</v>
      </c>
      <c r="EX4" s="27" t="s">
        <v>698</v>
      </c>
      <c r="EY4" s="27" t="s">
        <v>698</v>
      </c>
      <c r="EZ4" s="27" t="s">
        <v>697</v>
      </c>
      <c r="FA4" s="27" t="s">
        <v>698</v>
      </c>
      <c r="FB4" s="27" t="s">
        <v>698</v>
      </c>
      <c r="FC4" s="27" t="s">
        <v>698</v>
      </c>
      <c r="FD4" s="27" t="s">
        <v>698</v>
      </c>
      <c r="FE4" s="27" t="s">
        <v>698</v>
      </c>
      <c r="FF4" s="27" t="s">
        <v>698</v>
      </c>
      <c r="FG4" s="27" t="s">
        <v>697</v>
      </c>
      <c r="FH4" s="27" t="s">
        <v>698</v>
      </c>
      <c r="FI4" s="27" t="s">
        <v>698</v>
      </c>
      <c r="FJ4" s="27" t="s">
        <v>698</v>
      </c>
      <c r="FK4" s="27" t="s">
        <v>698</v>
      </c>
      <c r="FL4" s="27" t="s">
        <v>698</v>
      </c>
      <c r="FM4" s="27" t="s">
        <v>698</v>
      </c>
      <c r="FN4" s="27" t="s">
        <v>697</v>
      </c>
      <c r="FO4" s="27" t="s">
        <v>698</v>
      </c>
      <c r="FP4" s="27" t="s">
        <v>698</v>
      </c>
      <c r="FQ4" s="27" t="s">
        <v>698</v>
      </c>
      <c r="FR4" s="27" t="s">
        <v>698</v>
      </c>
      <c r="FS4" s="27" t="s">
        <v>698</v>
      </c>
      <c r="FT4" s="27" t="s">
        <v>698</v>
      </c>
      <c r="FU4" s="27" t="s">
        <v>697</v>
      </c>
      <c r="FV4" s="27" t="s">
        <v>698</v>
      </c>
      <c r="FW4" s="27" t="s">
        <v>698</v>
      </c>
      <c r="FX4" s="27" t="s">
        <v>698</v>
      </c>
      <c r="FY4" s="27" t="s">
        <v>698</v>
      </c>
      <c r="FZ4" s="27" t="s">
        <v>698</v>
      </c>
      <c r="GA4" s="27" t="s">
        <v>698</v>
      </c>
      <c r="GB4" s="27">
        <v>26000000</v>
      </c>
      <c r="GC4" s="27" t="s">
        <v>698</v>
      </c>
      <c r="GD4" s="27">
        <v>0</v>
      </c>
      <c r="GE4" s="27">
        <v>0</v>
      </c>
      <c r="GF4" s="27" t="s">
        <v>698</v>
      </c>
      <c r="GG4" s="27" t="s">
        <v>698</v>
      </c>
      <c r="GH4" s="27" t="s">
        <v>697</v>
      </c>
      <c r="GI4" s="27" t="s">
        <v>697</v>
      </c>
      <c r="GJ4" s="27" t="s">
        <v>697</v>
      </c>
      <c r="GK4" s="27" t="s">
        <v>697</v>
      </c>
      <c r="GL4" s="27" t="s">
        <v>697</v>
      </c>
      <c r="GM4" s="27" t="s">
        <v>697</v>
      </c>
      <c r="GN4" s="27" t="s">
        <v>697</v>
      </c>
      <c r="GO4" s="27" t="s">
        <v>697</v>
      </c>
      <c r="GP4" s="27" t="s">
        <v>697</v>
      </c>
      <c r="GQ4" s="27" t="s">
        <v>697</v>
      </c>
      <c r="GR4" s="27" t="s">
        <v>697</v>
      </c>
      <c r="GS4" s="27" t="s">
        <v>697</v>
      </c>
      <c r="GT4" s="27" t="s">
        <v>697</v>
      </c>
      <c r="GU4" s="27" t="s">
        <v>697</v>
      </c>
      <c r="GV4" s="27" t="s">
        <v>697</v>
      </c>
      <c r="GW4" s="27" t="s">
        <v>697</v>
      </c>
      <c r="GX4" s="27" t="s">
        <v>697</v>
      </c>
      <c r="GY4" s="27" t="s">
        <v>697</v>
      </c>
      <c r="GZ4" s="27" t="s">
        <v>697</v>
      </c>
      <c r="HA4" s="27" t="s">
        <v>697</v>
      </c>
      <c r="HB4" s="27" t="s">
        <v>697</v>
      </c>
      <c r="HC4" s="27" t="s">
        <v>697</v>
      </c>
      <c r="HD4" s="27" t="s">
        <v>697</v>
      </c>
      <c r="HE4" s="27" t="s">
        <v>697</v>
      </c>
      <c r="HF4" s="27" t="s">
        <v>697</v>
      </c>
      <c r="HG4" s="27" t="s">
        <v>697</v>
      </c>
      <c r="HH4" s="27" t="s">
        <v>697</v>
      </c>
      <c r="HI4" s="27" t="s">
        <v>697</v>
      </c>
      <c r="HJ4" s="27" t="s">
        <v>697</v>
      </c>
      <c r="HK4" s="27" t="s">
        <v>697</v>
      </c>
      <c r="HL4" s="27" t="s">
        <v>697</v>
      </c>
      <c r="HM4" s="27" t="s">
        <v>697</v>
      </c>
      <c r="HN4" s="27" t="s">
        <v>697</v>
      </c>
      <c r="HO4" s="27" t="s">
        <v>697</v>
      </c>
      <c r="HP4" s="27" t="s">
        <v>697</v>
      </c>
      <c r="HQ4" s="27" t="s">
        <v>697</v>
      </c>
      <c r="HR4" s="27" t="s">
        <v>743</v>
      </c>
      <c r="HS4" s="27" t="s">
        <v>697</v>
      </c>
      <c r="HT4" s="27" t="s">
        <v>697</v>
      </c>
      <c r="HU4" s="27" t="s">
        <v>697</v>
      </c>
      <c r="HV4" s="27" t="s">
        <v>697</v>
      </c>
      <c r="HW4" s="27" t="s">
        <v>697</v>
      </c>
      <c r="HX4" s="27" t="s">
        <v>697</v>
      </c>
      <c r="HY4" s="27" t="s">
        <v>701</v>
      </c>
      <c r="HZ4" s="33">
        <v>0.28000000000000003</v>
      </c>
      <c r="IA4" s="33">
        <v>0.09</v>
      </c>
      <c r="IB4" s="33">
        <v>0.33</v>
      </c>
      <c r="IC4" s="33">
        <v>0.03</v>
      </c>
      <c r="ID4" s="33">
        <v>0.08</v>
      </c>
      <c r="IE4" s="33">
        <v>0.11</v>
      </c>
      <c r="IF4" s="27" t="s">
        <v>698</v>
      </c>
      <c r="IG4" s="33">
        <v>0.06</v>
      </c>
      <c r="IH4" s="27" t="s">
        <v>698</v>
      </c>
      <c r="II4" s="27" t="s">
        <v>697</v>
      </c>
      <c r="IJ4" s="27" t="s">
        <v>698</v>
      </c>
      <c r="IK4" s="27" t="s">
        <v>698</v>
      </c>
      <c r="IL4" s="27" t="s">
        <v>698</v>
      </c>
      <c r="IM4" s="27" t="s">
        <v>698</v>
      </c>
      <c r="IN4" s="27" t="s">
        <v>698</v>
      </c>
      <c r="IO4" s="27" t="s">
        <v>698</v>
      </c>
      <c r="IP4" s="27" t="s">
        <v>698</v>
      </c>
      <c r="IQ4" s="27" t="s">
        <v>698</v>
      </c>
      <c r="IR4" s="27" t="s">
        <v>698</v>
      </c>
      <c r="IS4" s="27" t="s">
        <v>698</v>
      </c>
      <c r="IT4" s="27" t="s">
        <v>698</v>
      </c>
      <c r="IU4" s="27" t="s">
        <v>698</v>
      </c>
      <c r="IV4" s="27" t="s">
        <v>697</v>
      </c>
      <c r="IW4" s="27" t="s">
        <v>698</v>
      </c>
      <c r="IX4" s="27" t="s">
        <v>698</v>
      </c>
      <c r="IY4" s="27" t="s">
        <v>698</v>
      </c>
      <c r="IZ4" s="27" t="s">
        <v>698</v>
      </c>
      <c r="JA4" s="27" t="s">
        <v>698</v>
      </c>
      <c r="JB4" s="27" t="s">
        <v>698</v>
      </c>
      <c r="JC4" s="27" t="s">
        <v>698</v>
      </c>
      <c r="JD4" s="27" t="s">
        <v>698</v>
      </c>
      <c r="JE4" s="27" t="s">
        <v>698</v>
      </c>
      <c r="JF4" s="27" t="s">
        <v>698</v>
      </c>
      <c r="JG4" s="27" t="s">
        <v>698</v>
      </c>
      <c r="JH4" s="27" t="s">
        <v>698</v>
      </c>
      <c r="JI4" s="27" t="s">
        <v>697</v>
      </c>
      <c r="JJ4" s="27" t="s">
        <v>698</v>
      </c>
      <c r="JK4" s="27" t="s">
        <v>698</v>
      </c>
      <c r="JL4" s="27" t="s">
        <v>698</v>
      </c>
      <c r="JM4" s="27" t="s">
        <v>698</v>
      </c>
      <c r="JN4" s="27" t="s">
        <v>698</v>
      </c>
      <c r="JO4" s="27" t="s">
        <v>698</v>
      </c>
      <c r="JP4" s="27" t="s">
        <v>698</v>
      </c>
      <c r="JQ4" s="27" t="s">
        <v>698</v>
      </c>
      <c r="JR4" s="27" t="s">
        <v>698</v>
      </c>
      <c r="JS4" s="27" t="s">
        <v>697</v>
      </c>
      <c r="JT4" s="27" t="s">
        <v>698</v>
      </c>
      <c r="JU4" s="27" t="s">
        <v>698</v>
      </c>
      <c r="JV4" s="27" t="s">
        <v>698</v>
      </c>
      <c r="JW4" s="27" t="s">
        <v>698</v>
      </c>
      <c r="JX4" s="27" t="s">
        <v>698</v>
      </c>
      <c r="JY4" s="27" t="s">
        <v>698</v>
      </c>
      <c r="JZ4" s="27" t="s">
        <v>698</v>
      </c>
      <c r="KA4" s="27" t="s">
        <v>698</v>
      </c>
      <c r="KB4" s="27" t="s">
        <v>698</v>
      </c>
      <c r="KC4" s="27" t="s">
        <v>698</v>
      </c>
      <c r="KD4" s="27" t="s">
        <v>698</v>
      </c>
      <c r="KE4" s="27" t="s">
        <v>698</v>
      </c>
      <c r="KF4" s="27" t="s">
        <v>697</v>
      </c>
      <c r="KG4" s="27" t="s">
        <v>698</v>
      </c>
      <c r="KH4" s="27" t="s">
        <v>698</v>
      </c>
      <c r="KI4" s="27" t="s">
        <v>698</v>
      </c>
      <c r="KJ4" s="27" t="s">
        <v>698</v>
      </c>
      <c r="KK4" s="27" t="s">
        <v>698</v>
      </c>
      <c r="KL4" s="27" t="s">
        <v>698</v>
      </c>
      <c r="KM4" s="27" t="s">
        <v>698</v>
      </c>
      <c r="KN4" s="27" t="s">
        <v>698</v>
      </c>
      <c r="KO4" s="27" t="s">
        <v>698</v>
      </c>
      <c r="KP4" s="27" t="s">
        <v>698</v>
      </c>
      <c r="KQ4" s="27" t="s">
        <v>698</v>
      </c>
      <c r="KR4" s="27" t="s">
        <v>698</v>
      </c>
      <c r="KS4" s="27" t="s">
        <v>697</v>
      </c>
      <c r="KT4" s="27" t="s">
        <v>698</v>
      </c>
      <c r="KU4" s="27" t="s">
        <v>698</v>
      </c>
      <c r="KV4" s="27" t="s">
        <v>698</v>
      </c>
      <c r="KW4" s="27" t="s">
        <v>698</v>
      </c>
      <c r="KX4" s="27" t="s">
        <v>698</v>
      </c>
      <c r="KY4" s="27" t="s">
        <v>698</v>
      </c>
      <c r="KZ4" s="27" t="s">
        <v>698</v>
      </c>
      <c r="LA4" s="27" t="s">
        <v>698</v>
      </c>
      <c r="LB4" s="27" t="s">
        <v>698</v>
      </c>
      <c r="LC4" s="27" t="s">
        <v>698</v>
      </c>
      <c r="LD4" s="27" t="s">
        <v>698</v>
      </c>
      <c r="LE4" s="27" t="s">
        <v>698</v>
      </c>
      <c r="LF4" s="27" t="s">
        <v>697</v>
      </c>
      <c r="LG4" s="27" t="s">
        <v>697</v>
      </c>
      <c r="LH4" s="27" t="s">
        <v>697</v>
      </c>
      <c r="LI4" s="27" t="s">
        <v>697</v>
      </c>
      <c r="LJ4" s="27" t="s">
        <v>697</v>
      </c>
      <c r="LK4" s="27" t="s">
        <v>697</v>
      </c>
      <c r="LL4" s="27" t="s">
        <v>697</v>
      </c>
      <c r="LM4" s="27" t="s">
        <v>697</v>
      </c>
      <c r="LN4" s="27" t="s">
        <v>697</v>
      </c>
      <c r="LO4" s="27" t="s">
        <v>697</v>
      </c>
      <c r="LP4" s="27" t="s">
        <v>697</v>
      </c>
      <c r="LQ4" s="27" t="s">
        <v>697</v>
      </c>
      <c r="LR4" s="27" t="s">
        <v>697</v>
      </c>
      <c r="LS4" s="27" t="s">
        <v>697</v>
      </c>
      <c r="LT4" s="27" t="s">
        <v>697</v>
      </c>
      <c r="LU4" s="27" t="s">
        <v>697</v>
      </c>
      <c r="LV4" s="27" t="s">
        <v>697</v>
      </c>
      <c r="LW4" s="27" t="s">
        <v>697</v>
      </c>
      <c r="LX4" s="27" t="s">
        <v>709</v>
      </c>
      <c r="LY4" s="27" t="s">
        <v>697</v>
      </c>
      <c r="LZ4" s="27" t="s">
        <v>697</v>
      </c>
      <c r="MA4" s="27" t="s">
        <v>697</v>
      </c>
      <c r="MB4" s="27" t="s">
        <v>697</v>
      </c>
      <c r="MC4" s="27" t="s">
        <v>697</v>
      </c>
      <c r="MD4" s="27" t="s">
        <v>697</v>
      </c>
      <c r="ME4" s="27" t="s">
        <v>697</v>
      </c>
      <c r="MF4" s="27" t="s">
        <v>711</v>
      </c>
      <c r="MG4" s="27" t="s">
        <v>744</v>
      </c>
      <c r="MH4" s="27" t="s">
        <v>709</v>
      </c>
      <c r="MI4" s="27" t="s">
        <v>697</v>
      </c>
      <c r="MJ4" s="27" t="s">
        <v>697</v>
      </c>
      <c r="MK4" s="27" t="s">
        <v>697</v>
      </c>
      <c r="ML4" s="27" t="s">
        <v>745</v>
      </c>
      <c r="MM4" s="27" t="s">
        <v>697</v>
      </c>
    </row>
    <row r="5" spans="1:351" ht="90" x14ac:dyDescent="0.25">
      <c r="A5" s="27">
        <v>3201</v>
      </c>
      <c r="B5" s="27" t="s">
        <v>723</v>
      </c>
      <c r="C5" s="27" t="s">
        <v>844</v>
      </c>
      <c r="D5" s="56">
        <v>2033067</v>
      </c>
      <c r="E5" s="27" t="s">
        <v>700</v>
      </c>
      <c r="F5" s="27">
        <v>10</v>
      </c>
      <c r="G5" s="27">
        <v>10</v>
      </c>
      <c r="H5" s="27">
        <v>10</v>
      </c>
      <c r="I5" s="27" t="s">
        <v>697</v>
      </c>
      <c r="J5" s="27" t="s">
        <v>697</v>
      </c>
      <c r="K5" s="27" t="s">
        <v>697</v>
      </c>
      <c r="L5" s="27" t="s">
        <v>697</v>
      </c>
      <c r="M5" s="27" t="s">
        <v>698</v>
      </c>
      <c r="N5" s="27">
        <v>1803</v>
      </c>
      <c r="O5" s="27">
        <v>77.7</v>
      </c>
      <c r="P5" s="27">
        <v>0</v>
      </c>
      <c r="Q5" s="27">
        <v>0</v>
      </c>
      <c r="R5" s="27">
        <v>1792</v>
      </c>
      <c r="S5" s="27">
        <v>77.95</v>
      </c>
      <c r="T5" s="27" t="s">
        <v>697</v>
      </c>
      <c r="U5" s="27" t="s">
        <v>697</v>
      </c>
      <c r="V5" s="27" t="s">
        <v>697</v>
      </c>
      <c r="W5" s="27" t="s">
        <v>697</v>
      </c>
      <c r="X5" s="27" t="s">
        <v>697</v>
      </c>
      <c r="Y5" s="27" t="s">
        <v>697</v>
      </c>
      <c r="Z5" s="27" t="s">
        <v>697</v>
      </c>
      <c r="AA5" s="27" t="s">
        <v>697</v>
      </c>
      <c r="AB5" s="27" t="s">
        <v>697</v>
      </c>
      <c r="AC5" s="27" t="s">
        <v>697</v>
      </c>
      <c r="AD5" s="27" t="s">
        <v>697</v>
      </c>
      <c r="AE5" s="27" t="s">
        <v>697</v>
      </c>
      <c r="AF5" s="5">
        <v>98490545</v>
      </c>
      <c r="AG5" s="27" t="s">
        <v>697</v>
      </c>
      <c r="AH5" s="27" t="s">
        <v>697</v>
      </c>
      <c r="AI5" s="27" t="s">
        <v>697</v>
      </c>
      <c r="AJ5" s="27" t="s">
        <v>697</v>
      </c>
      <c r="AK5" s="27" t="s">
        <v>697</v>
      </c>
      <c r="AL5" s="27" t="s">
        <v>697</v>
      </c>
      <c r="AM5" s="27">
        <v>7</v>
      </c>
      <c r="AN5" s="27" t="s">
        <v>697</v>
      </c>
      <c r="AO5" s="27" t="s">
        <v>697</v>
      </c>
      <c r="AP5" s="27" t="s">
        <v>697</v>
      </c>
      <c r="AQ5" s="27" t="s">
        <v>697</v>
      </c>
      <c r="AR5" s="27" t="s">
        <v>697</v>
      </c>
      <c r="AS5" s="27">
        <v>10</v>
      </c>
      <c r="AT5" s="27">
        <v>10</v>
      </c>
      <c r="AU5" s="27">
        <v>10</v>
      </c>
      <c r="AV5" s="27">
        <v>0</v>
      </c>
      <c r="AW5" s="27" t="s">
        <v>697</v>
      </c>
      <c r="AX5" s="27" t="s">
        <v>697</v>
      </c>
      <c r="AY5" s="27" t="s">
        <v>697</v>
      </c>
      <c r="AZ5" s="27" t="s">
        <v>697</v>
      </c>
      <c r="BA5" s="27" t="s">
        <v>698</v>
      </c>
      <c r="BB5" s="27" t="s">
        <v>697</v>
      </c>
      <c r="BC5" s="27" t="s">
        <v>697</v>
      </c>
      <c r="BD5" s="27" t="s">
        <v>701</v>
      </c>
      <c r="BE5" s="33">
        <v>0.98</v>
      </c>
      <c r="BF5" s="33">
        <v>0.01</v>
      </c>
      <c r="BG5" s="27" t="s">
        <v>697</v>
      </c>
      <c r="BH5" s="27" t="s">
        <v>698</v>
      </c>
      <c r="BI5" s="27" t="s">
        <v>698</v>
      </c>
      <c r="BJ5" s="27" t="s">
        <v>697</v>
      </c>
      <c r="BK5" s="27" t="s">
        <v>698</v>
      </c>
      <c r="BL5" s="27" t="s">
        <v>698</v>
      </c>
      <c r="BM5" s="27" t="s">
        <v>697</v>
      </c>
      <c r="BN5" s="27" t="s">
        <v>698</v>
      </c>
      <c r="BO5" s="27" t="s">
        <v>698</v>
      </c>
      <c r="BP5" s="27" t="s">
        <v>697</v>
      </c>
      <c r="BQ5" s="27" t="s">
        <v>698</v>
      </c>
      <c r="BR5" s="27" t="s">
        <v>698</v>
      </c>
      <c r="BS5" s="27" t="s">
        <v>697</v>
      </c>
      <c r="BT5" s="27" t="s">
        <v>698</v>
      </c>
      <c r="BU5" s="27" t="s">
        <v>698</v>
      </c>
      <c r="BV5" s="27" t="s">
        <v>697</v>
      </c>
      <c r="BW5" s="27" t="s">
        <v>698</v>
      </c>
      <c r="BX5" s="27" t="s">
        <v>698</v>
      </c>
      <c r="BY5" s="27" t="s">
        <v>724</v>
      </c>
      <c r="BZ5" s="27">
        <v>3.9</v>
      </c>
      <c r="CA5" s="27">
        <v>3.75</v>
      </c>
      <c r="CB5" s="27" t="s">
        <v>725</v>
      </c>
      <c r="CC5" s="27">
        <v>3.9</v>
      </c>
      <c r="CD5" s="27">
        <v>3.75</v>
      </c>
      <c r="CE5" s="27" t="s">
        <v>726</v>
      </c>
      <c r="CF5" s="27">
        <v>3.9</v>
      </c>
      <c r="CG5" s="27">
        <v>3.75</v>
      </c>
      <c r="CH5" s="34">
        <v>44197</v>
      </c>
      <c r="CI5" s="27" t="s">
        <v>697</v>
      </c>
      <c r="CJ5" s="27" t="s">
        <v>697</v>
      </c>
      <c r="CK5" s="27" t="s">
        <v>697</v>
      </c>
      <c r="CL5" s="27" t="s">
        <v>697</v>
      </c>
      <c r="CM5" s="27" t="s">
        <v>697</v>
      </c>
      <c r="CN5" s="27" t="s">
        <v>697</v>
      </c>
      <c r="CO5" s="27" t="s">
        <v>697</v>
      </c>
      <c r="CP5" s="27" t="s">
        <v>697</v>
      </c>
      <c r="CQ5" s="27" t="s">
        <v>697</v>
      </c>
      <c r="CR5" s="27" t="s">
        <v>697</v>
      </c>
      <c r="CS5" s="27" t="s">
        <v>697</v>
      </c>
      <c r="CT5" s="27" t="s">
        <v>697</v>
      </c>
      <c r="CU5" s="27" t="s">
        <v>697</v>
      </c>
      <c r="CV5" s="27" t="s">
        <v>697</v>
      </c>
      <c r="CW5" s="27" t="s">
        <v>697</v>
      </c>
      <c r="CX5" s="27" t="s">
        <v>697</v>
      </c>
      <c r="CY5" s="27" t="s">
        <v>697</v>
      </c>
      <c r="CZ5" s="27" t="s">
        <v>697</v>
      </c>
      <c r="DA5" s="27" t="s">
        <v>697</v>
      </c>
      <c r="DB5" s="27" t="s">
        <v>703</v>
      </c>
      <c r="DC5" s="35">
        <v>391359129.02999997</v>
      </c>
      <c r="DD5" s="35">
        <v>110158617.34</v>
      </c>
      <c r="DE5" s="35">
        <v>3000000</v>
      </c>
      <c r="DF5" s="27" t="s">
        <v>698</v>
      </c>
      <c r="DG5" s="27" t="s">
        <v>697</v>
      </c>
      <c r="DH5" s="27" t="s">
        <v>697</v>
      </c>
      <c r="DI5" s="27" t="s">
        <v>697</v>
      </c>
      <c r="DJ5" s="27" t="s">
        <v>697</v>
      </c>
      <c r="DK5" s="27" t="s">
        <v>697</v>
      </c>
      <c r="DL5" s="27" t="s">
        <v>697</v>
      </c>
      <c r="DM5" s="27" t="s">
        <v>697</v>
      </c>
      <c r="DN5" s="27" t="s">
        <v>697</v>
      </c>
      <c r="DO5" s="27" t="s">
        <v>697</v>
      </c>
      <c r="DP5" s="27" t="s">
        <v>697</v>
      </c>
      <c r="DQ5" s="27" t="s">
        <v>697</v>
      </c>
      <c r="DR5" s="27" t="s">
        <v>697</v>
      </c>
      <c r="DS5" s="27" t="s">
        <v>697</v>
      </c>
      <c r="DT5" s="27" t="s">
        <v>697</v>
      </c>
      <c r="DU5" s="27" t="s">
        <v>697</v>
      </c>
      <c r="DV5" s="27" t="s">
        <v>697</v>
      </c>
      <c r="DW5" s="27" t="s">
        <v>697</v>
      </c>
      <c r="DX5" s="27" t="s">
        <v>697</v>
      </c>
      <c r="DY5" s="27" t="s">
        <v>697</v>
      </c>
      <c r="DZ5" s="27" t="s">
        <v>697</v>
      </c>
      <c r="EA5" s="27" t="s">
        <v>697</v>
      </c>
      <c r="EB5" s="27" t="s">
        <v>697</v>
      </c>
      <c r="EC5" s="27" t="s">
        <v>697</v>
      </c>
      <c r="ED5" s="27" t="s">
        <v>697</v>
      </c>
      <c r="EE5" s="27" t="s">
        <v>727</v>
      </c>
      <c r="EF5" s="27" t="s">
        <v>697</v>
      </c>
      <c r="EG5" s="33">
        <v>0.05</v>
      </c>
      <c r="EH5" s="27" t="s">
        <v>697</v>
      </c>
      <c r="EI5" s="27" t="s">
        <v>697</v>
      </c>
      <c r="EJ5" s="27" t="s">
        <v>697</v>
      </c>
      <c r="EK5" s="27" t="s">
        <v>697</v>
      </c>
      <c r="EL5" s="27" t="s">
        <v>697</v>
      </c>
      <c r="EM5" s="27" t="s">
        <v>698</v>
      </c>
      <c r="EN5" s="27" t="s">
        <v>698</v>
      </c>
      <c r="EO5" s="27" t="s">
        <v>698</v>
      </c>
      <c r="EP5" s="27" t="s">
        <v>698</v>
      </c>
      <c r="EQ5" s="27" t="s">
        <v>698</v>
      </c>
      <c r="ER5" s="27" t="s">
        <v>698</v>
      </c>
      <c r="ES5" s="27" t="s">
        <v>697</v>
      </c>
      <c r="ET5" s="27" t="s">
        <v>698</v>
      </c>
      <c r="EU5" s="27" t="s">
        <v>698</v>
      </c>
      <c r="EV5" s="27" t="s">
        <v>698</v>
      </c>
      <c r="EW5" s="27" t="s">
        <v>698</v>
      </c>
      <c r="EX5" s="27" t="s">
        <v>698</v>
      </c>
      <c r="EY5" s="27" t="s">
        <v>698</v>
      </c>
      <c r="EZ5" s="27" t="s">
        <v>697</v>
      </c>
      <c r="FA5" s="27" t="s">
        <v>698</v>
      </c>
      <c r="FB5" s="27" t="s">
        <v>698</v>
      </c>
      <c r="FC5" s="27" t="s">
        <v>698</v>
      </c>
      <c r="FD5" s="27" t="s">
        <v>698</v>
      </c>
      <c r="FE5" s="27" t="s">
        <v>698</v>
      </c>
      <c r="FF5" s="27" t="s">
        <v>698</v>
      </c>
      <c r="FG5" s="27" t="s">
        <v>697</v>
      </c>
      <c r="FH5" s="27" t="s">
        <v>698</v>
      </c>
      <c r="FI5" s="27" t="s">
        <v>698</v>
      </c>
      <c r="FJ5" s="27" t="s">
        <v>698</v>
      </c>
      <c r="FK5" s="27" t="s">
        <v>698</v>
      </c>
      <c r="FL5" s="27" t="s">
        <v>698</v>
      </c>
      <c r="FM5" s="27" t="s">
        <v>698</v>
      </c>
      <c r="FN5" s="27" t="s">
        <v>697</v>
      </c>
      <c r="FO5" s="27" t="s">
        <v>698</v>
      </c>
      <c r="FP5" s="27" t="s">
        <v>698</v>
      </c>
      <c r="FQ5" s="27" t="s">
        <v>698</v>
      </c>
      <c r="FR5" s="27" t="s">
        <v>698</v>
      </c>
      <c r="FS5" s="27" t="s">
        <v>698</v>
      </c>
      <c r="FT5" s="27" t="s">
        <v>698</v>
      </c>
      <c r="FU5" s="27" t="s">
        <v>697</v>
      </c>
      <c r="FV5" s="27" t="s">
        <v>698</v>
      </c>
      <c r="FW5" s="27" t="s">
        <v>698</v>
      </c>
      <c r="FX5" s="27" t="s">
        <v>698</v>
      </c>
      <c r="FY5" s="27" t="s">
        <v>698</v>
      </c>
      <c r="FZ5" s="27" t="s">
        <v>698</v>
      </c>
      <c r="GA5" s="27" t="s">
        <v>698</v>
      </c>
      <c r="GB5" s="27">
        <v>45674574</v>
      </c>
      <c r="GC5" s="27">
        <v>54672031</v>
      </c>
      <c r="GD5" s="27">
        <v>1986359</v>
      </c>
      <c r="GE5" s="27">
        <v>0</v>
      </c>
      <c r="GF5" s="27">
        <v>6409043</v>
      </c>
      <c r="GG5" s="27">
        <v>100348495</v>
      </c>
      <c r="GH5" s="27" t="s">
        <v>697</v>
      </c>
      <c r="GI5" s="27" t="s">
        <v>697</v>
      </c>
      <c r="GJ5" s="27" t="s">
        <v>697</v>
      </c>
      <c r="GK5" s="27" t="s">
        <v>697</v>
      </c>
      <c r="GL5" s="27" t="s">
        <v>697</v>
      </c>
      <c r="GM5" s="27" t="s">
        <v>697</v>
      </c>
      <c r="GN5" s="27" t="s">
        <v>697</v>
      </c>
      <c r="GO5" s="27" t="s">
        <v>697</v>
      </c>
      <c r="GP5" s="27" t="s">
        <v>697</v>
      </c>
      <c r="GQ5" s="27" t="s">
        <v>697</v>
      </c>
      <c r="GR5" s="27" t="s">
        <v>697</v>
      </c>
      <c r="GS5" s="27" t="s">
        <v>697</v>
      </c>
      <c r="GT5" s="27" t="s">
        <v>697</v>
      </c>
      <c r="GU5" s="27" t="s">
        <v>697</v>
      </c>
      <c r="GV5" s="27" t="s">
        <v>697</v>
      </c>
      <c r="GW5" s="27" t="s">
        <v>697</v>
      </c>
      <c r="GX5" s="27" t="s">
        <v>697</v>
      </c>
      <c r="GY5" s="27" t="s">
        <v>697</v>
      </c>
      <c r="GZ5" s="27" t="s">
        <v>697</v>
      </c>
      <c r="HA5" s="27" t="s">
        <v>697</v>
      </c>
      <c r="HB5" s="27" t="s">
        <v>697</v>
      </c>
      <c r="HC5" s="27" t="s">
        <v>697</v>
      </c>
      <c r="HD5" s="27" t="s">
        <v>697</v>
      </c>
      <c r="HE5" s="27" t="s">
        <v>697</v>
      </c>
      <c r="HF5" s="27" t="s">
        <v>697</v>
      </c>
      <c r="HG5" s="27" t="s">
        <v>697</v>
      </c>
      <c r="HH5" s="27" t="s">
        <v>697</v>
      </c>
      <c r="HI5" s="27" t="s">
        <v>697</v>
      </c>
      <c r="HJ5" s="27" t="s">
        <v>697</v>
      </c>
      <c r="HK5" s="27" t="s">
        <v>697</v>
      </c>
      <c r="HL5" s="27" t="s">
        <v>697</v>
      </c>
      <c r="HM5" s="27" t="s">
        <v>697</v>
      </c>
      <c r="HN5" s="27" t="s">
        <v>697</v>
      </c>
      <c r="HO5" s="27" t="s">
        <v>697</v>
      </c>
      <c r="HP5" s="27" t="s">
        <v>697</v>
      </c>
      <c r="HQ5" s="27" t="s">
        <v>697</v>
      </c>
      <c r="HR5" s="27" t="s">
        <v>728</v>
      </c>
      <c r="HS5" s="27" t="s">
        <v>697</v>
      </c>
      <c r="HT5" s="27" t="s">
        <v>697</v>
      </c>
      <c r="HU5" s="27" t="s">
        <v>697</v>
      </c>
      <c r="HV5" s="27" t="s">
        <v>697</v>
      </c>
      <c r="HW5" s="27" t="s">
        <v>697</v>
      </c>
      <c r="HX5" s="27" t="s">
        <v>697</v>
      </c>
      <c r="HY5" s="27" t="s">
        <v>701</v>
      </c>
      <c r="HZ5" s="33">
        <v>0.51</v>
      </c>
      <c r="IA5" s="33">
        <v>0.03</v>
      </c>
      <c r="IB5" s="33">
        <v>0.17</v>
      </c>
      <c r="IC5" s="33">
        <v>0.1</v>
      </c>
      <c r="ID5" s="33">
        <v>0.12</v>
      </c>
      <c r="IE5" s="33">
        <v>0.08</v>
      </c>
      <c r="IF5" s="33">
        <v>0.02</v>
      </c>
      <c r="IG5" s="33">
        <v>0.01</v>
      </c>
      <c r="IH5" s="33">
        <v>7.0000000000000007E-2</v>
      </c>
      <c r="II5" s="27" t="s">
        <v>697</v>
      </c>
      <c r="IJ5" s="27" t="s">
        <v>698</v>
      </c>
      <c r="IK5" s="27" t="s">
        <v>698</v>
      </c>
      <c r="IL5" s="27" t="s">
        <v>698</v>
      </c>
      <c r="IM5" s="27" t="s">
        <v>698</v>
      </c>
      <c r="IN5" s="27" t="s">
        <v>698</v>
      </c>
      <c r="IO5" s="27" t="s">
        <v>698</v>
      </c>
      <c r="IP5" s="27" t="s">
        <v>698</v>
      </c>
      <c r="IQ5" s="27" t="s">
        <v>698</v>
      </c>
      <c r="IR5" s="27" t="s">
        <v>698</v>
      </c>
      <c r="IS5" s="27" t="s">
        <v>698</v>
      </c>
      <c r="IT5" s="27" t="s">
        <v>698</v>
      </c>
      <c r="IU5" s="27" t="s">
        <v>698</v>
      </c>
      <c r="IV5" s="27" t="s">
        <v>697</v>
      </c>
      <c r="IW5" s="27" t="s">
        <v>698</v>
      </c>
      <c r="IX5" s="27" t="s">
        <v>698</v>
      </c>
      <c r="IY5" s="27" t="s">
        <v>698</v>
      </c>
      <c r="IZ5" s="27" t="s">
        <v>698</v>
      </c>
      <c r="JA5" s="27" t="s">
        <v>698</v>
      </c>
      <c r="JB5" s="27" t="s">
        <v>698</v>
      </c>
      <c r="JC5" s="27" t="s">
        <v>698</v>
      </c>
      <c r="JD5" s="27" t="s">
        <v>698</v>
      </c>
      <c r="JE5" s="27" t="s">
        <v>698</v>
      </c>
      <c r="JF5" s="27" t="s">
        <v>698</v>
      </c>
      <c r="JG5" s="27" t="s">
        <v>698</v>
      </c>
      <c r="JH5" s="27" t="s">
        <v>698</v>
      </c>
      <c r="JI5" s="27" t="s">
        <v>697</v>
      </c>
      <c r="JJ5" s="27" t="s">
        <v>698</v>
      </c>
      <c r="JK5" s="27" t="s">
        <v>698</v>
      </c>
      <c r="JL5" s="27" t="s">
        <v>698</v>
      </c>
      <c r="JM5" s="27" t="s">
        <v>698</v>
      </c>
      <c r="JN5" s="27" t="s">
        <v>698</v>
      </c>
      <c r="JO5" s="27" t="s">
        <v>698</v>
      </c>
      <c r="JP5" s="27" t="s">
        <v>698</v>
      </c>
      <c r="JQ5" s="27" t="s">
        <v>698</v>
      </c>
      <c r="JR5" s="27" t="s">
        <v>698</v>
      </c>
      <c r="JS5" s="27" t="s">
        <v>697</v>
      </c>
      <c r="JT5" s="27" t="s">
        <v>698</v>
      </c>
      <c r="JU5" s="27" t="s">
        <v>698</v>
      </c>
      <c r="JV5" s="27" t="s">
        <v>698</v>
      </c>
      <c r="JW5" s="27" t="s">
        <v>698</v>
      </c>
      <c r="JX5" s="27" t="s">
        <v>698</v>
      </c>
      <c r="JY5" s="27" t="s">
        <v>698</v>
      </c>
      <c r="JZ5" s="27" t="s">
        <v>698</v>
      </c>
      <c r="KA5" s="27" t="s">
        <v>698</v>
      </c>
      <c r="KB5" s="27" t="s">
        <v>698</v>
      </c>
      <c r="KC5" s="27" t="s">
        <v>698</v>
      </c>
      <c r="KD5" s="27" t="s">
        <v>698</v>
      </c>
      <c r="KE5" s="27" t="s">
        <v>698</v>
      </c>
      <c r="KF5" s="27" t="s">
        <v>697</v>
      </c>
      <c r="KG5" s="27" t="s">
        <v>698</v>
      </c>
      <c r="KH5" s="27" t="s">
        <v>698</v>
      </c>
      <c r="KI5" s="27" t="s">
        <v>698</v>
      </c>
      <c r="KJ5" s="27" t="s">
        <v>698</v>
      </c>
      <c r="KK5" s="27" t="s">
        <v>698</v>
      </c>
      <c r="KL5" s="27" t="s">
        <v>698</v>
      </c>
      <c r="KM5" s="27" t="s">
        <v>698</v>
      </c>
      <c r="KN5" s="27" t="s">
        <v>698</v>
      </c>
      <c r="KO5" s="27" t="s">
        <v>698</v>
      </c>
      <c r="KP5" s="27" t="s">
        <v>698</v>
      </c>
      <c r="KQ5" s="27" t="s">
        <v>698</v>
      </c>
      <c r="KR5" s="27" t="s">
        <v>698</v>
      </c>
      <c r="KS5" s="27" t="s">
        <v>697</v>
      </c>
      <c r="KT5" s="27" t="s">
        <v>698</v>
      </c>
      <c r="KU5" s="27" t="s">
        <v>698</v>
      </c>
      <c r="KV5" s="27" t="s">
        <v>698</v>
      </c>
      <c r="KW5" s="27" t="s">
        <v>698</v>
      </c>
      <c r="KX5" s="27" t="s">
        <v>698</v>
      </c>
      <c r="KY5" s="27" t="s">
        <v>698</v>
      </c>
      <c r="KZ5" s="27" t="s">
        <v>698</v>
      </c>
      <c r="LA5" s="27" t="s">
        <v>698</v>
      </c>
      <c r="LB5" s="27" t="s">
        <v>698</v>
      </c>
      <c r="LC5" s="27" t="s">
        <v>698</v>
      </c>
      <c r="LD5" s="27" t="s">
        <v>698</v>
      </c>
      <c r="LE5" s="27" t="s">
        <v>698</v>
      </c>
      <c r="LF5" s="27" t="s">
        <v>697</v>
      </c>
      <c r="LG5" s="27" t="s">
        <v>729</v>
      </c>
      <c r="LH5" s="27" t="s">
        <v>697</v>
      </c>
      <c r="LI5" s="27" t="s">
        <v>729</v>
      </c>
      <c r="LJ5" s="27" t="s">
        <v>697</v>
      </c>
      <c r="LK5" s="27">
        <v>1998</v>
      </c>
      <c r="LL5" s="27" t="s">
        <v>730</v>
      </c>
      <c r="LM5" s="27" t="s">
        <v>731</v>
      </c>
      <c r="LN5" s="27">
        <v>2300000</v>
      </c>
      <c r="LO5" s="27">
        <v>25</v>
      </c>
      <c r="LP5" s="27">
        <v>26.9</v>
      </c>
      <c r="LQ5" s="60" t="s">
        <v>698</v>
      </c>
      <c r="LR5" s="60" t="s">
        <v>698</v>
      </c>
      <c r="LS5" s="60" t="s">
        <v>698</v>
      </c>
      <c r="LT5" s="60" t="s">
        <v>698</v>
      </c>
      <c r="LU5" s="60" t="s">
        <v>698</v>
      </c>
      <c r="LV5" s="60" t="s">
        <v>698</v>
      </c>
      <c r="LW5" s="60" t="s">
        <v>698</v>
      </c>
      <c r="LX5" s="27" t="s">
        <v>709</v>
      </c>
      <c r="LY5" s="27" t="s">
        <v>697</v>
      </c>
      <c r="LZ5" s="27" t="s">
        <v>697</v>
      </c>
      <c r="MA5" s="27" t="s">
        <v>697</v>
      </c>
      <c r="MB5" s="27" t="s">
        <v>697</v>
      </c>
      <c r="MC5" s="27" t="s">
        <v>697</v>
      </c>
      <c r="MD5" s="27" t="s">
        <v>697</v>
      </c>
      <c r="ME5" s="27" t="s">
        <v>732</v>
      </c>
      <c r="MF5" s="27" t="s">
        <v>711</v>
      </c>
      <c r="MG5" s="27" t="s">
        <v>733</v>
      </c>
      <c r="MH5" s="27" t="s">
        <v>701</v>
      </c>
      <c r="MI5" s="27">
        <v>25</v>
      </c>
      <c r="MJ5" s="34">
        <v>50952</v>
      </c>
      <c r="MK5" s="27" t="s">
        <v>734</v>
      </c>
      <c r="ML5" s="27" t="s">
        <v>735</v>
      </c>
      <c r="MM5" s="27" t="s">
        <v>697</v>
      </c>
    </row>
    <row r="6" spans="1:351" ht="50.25" customHeight="1" x14ac:dyDescent="0.25">
      <c r="A6" s="27">
        <v>5201</v>
      </c>
      <c r="B6" s="27" t="s">
        <v>715</v>
      </c>
      <c r="C6" s="27" t="s">
        <v>843</v>
      </c>
      <c r="D6" s="55">
        <v>2695362</v>
      </c>
      <c r="E6" s="27" t="s">
        <v>700</v>
      </c>
      <c r="F6" s="27">
        <v>0</v>
      </c>
      <c r="G6" s="27">
        <v>21</v>
      </c>
      <c r="H6" s="27">
        <v>21</v>
      </c>
      <c r="I6" s="27" t="s">
        <v>697</v>
      </c>
      <c r="J6" s="27" t="s">
        <v>697</v>
      </c>
      <c r="K6" s="27" t="s">
        <v>697</v>
      </c>
      <c r="L6" s="27" t="s">
        <v>697</v>
      </c>
      <c r="M6" s="27" t="s">
        <v>716</v>
      </c>
      <c r="N6" s="27">
        <v>1100</v>
      </c>
      <c r="O6" s="27">
        <v>75</v>
      </c>
      <c r="P6" s="27">
        <v>0</v>
      </c>
      <c r="Q6" s="27">
        <v>0</v>
      </c>
      <c r="R6" s="27">
        <v>1100</v>
      </c>
      <c r="S6" s="27">
        <v>75</v>
      </c>
      <c r="T6" s="27" t="s">
        <v>697</v>
      </c>
      <c r="U6" s="27" t="s">
        <v>697</v>
      </c>
      <c r="V6" s="27" t="s">
        <v>697</v>
      </c>
      <c r="W6" s="27" t="s">
        <v>697</v>
      </c>
      <c r="X6" s="27" t="s">
        <v>697</v>
      </c>
      <c r="Y6" s="27" t="s">
        <v>697</v>
      </c>
      <c r="Z6" s="27" t="s">
        <v>697</v>
      </c>
      <c r="AA6" s="27" t="s">
        <v>697</v>
      </c>
      <c r="AB6" s="27" t="s">
        <v>697</v>
      </c>
      <c r="AC6" s="27" t="s">
        <v>697</v>
      </c>
      <c r="AD6" s="27" t="s">
        <v>697</v>
      </c>
      <c r="AE6" s="27" t="s">
        <v>697</v>
      </c>
      <c r="AF6" s="5">
        <v>5492498600</v>
      </c>
      <c r="AG6" s="27" t="s">
        <v>697</v>
      </c>
      <c r="AH6" s="27" t="s">
        <v>697</v>
      </c>
      <c r="AI6" s="27" t="s">
        <v>697</v>
      </c>
      <c r="AJ6" s="27" t="s">
        <v>697</v>
      </c>
      <c r="AK6" s="27" t="s">
        <v>697</v>
      </c>
      <c r="AL6" s="27" t="s">
        <v>697</v>
      </c>
      <c r="AM6" s="27">
        <v>10</v>
      </c>
      <c r="AN6" s="27" t="s">
        <v>697</v>
      </c>
      <c r="AO6" s="27" t="s">
        <v>697</v>
      </c>
      <c r="AP6" s="27" t="s">
        <v>697</v>
      </c>
      <c r="AQ6" s="27" t="s">
        <v>697</v>
      </c>
      <c r="AR6" s="27" t="s">
        <v>697</v>
      </c>
      <c r="AS6" s="27">
        <v>21</v>
      </c>
      <c r="AT6" s="27">
        <v>21</v>
      </c>
      <c r="AU6" s="27">
        <v>21</v>
      </c>
      <c r="AV6" s="27">
        <v>0</v>
      </c>
      <c r="AW6" s="27" t="s">
        <v>697</v>
      </c>
      <c r="AX6" s="27" t="s">
        <v>697</v>
      </c>
      <c r="AY6" s="27" t="s">
        <v>697</v>
      </c>
      <c r="AZ6" s="27" t="s">
        <v>697</v>
      </c>
      <c r="BA6" s="27" t="s">
        <v>698</v>
      </c>
      <c r="BB6" s="27" t="s">
        <v>697</v>
      </c>
      <c r="BC6" s="27" t="s">
        <v>697</v>
      </c>
      <c r="BD6" s="27" t="s">
        <v>701</v>
      </c>
      <c r="BE6" s="33">
        <v>0.81399999999999995</v>
      </c>
      <c r="BF6" s="33">
        <v>1.6E-2</v>
      </c>
      <c r="BG6" s="27" t="s">
        <v>697</v>
      </c>
      <c r="BH6" s="27" t="s">
        <v>698</v>
      </c>
      <c r="BI6" s="27" t="s">
        <v>698</v>
      </c>
      <c r="BJ6" s="27" t="s">
        <v>697</v>
      </c>
      <c r="BK6" s="27" t="s">
        <v>698</v>
      </c>
      <c r="BL6" s="27" t="s">
        <v>698</v>
      </c>
      <c r="BM6" s="27" t="s">
        <v>697</v>
      </c>
      <c r="BN6" s="27" t="s">
        <v>698</v>
      </c>
      <c r="BO6" s="27" t="s">
        <v>698</v>
      </c>
      <c r="BP6" s="27" t="s">
        <v>697</v>
      </c>
      <c r="BQ6" s="27" t="s">
        <v>698</v>
      </c>
      <c r="BR6" s="27" t="s">
        <v>698</v>
      </c>
      <c r="BS6" s="27" t="s">
        <v>697</v>
      </c>
      <c r="BT6" s="27" t="s">
        <v>698</v>
      </c>
      <c r="BU6" s="27" t="s">
        <v>698</v>
      </c>
      <c r="BV6" s="27" t="s">
        <v>697</v>
      </c>
      <c r="BW6" s="27" t="s">
        <v>698</v>
      </c>
      <c r="BX6" s="27" t="s">
        <v>698</v>
      </c>
      <c r="BY6" s="27" t="s">
        <v>717</v>
      </c>
      <c r="BZ6" s="27">
        <v>4.3</v>
      </c>
      <c r="CA6" s="27">
        <v>4</v>
      </c>
      <c r="CB6" s="27" t="s">
        <v>718</v>
      </c>
      <c r="CC6" s="27">
        <v>4.3</v>
      </c>
      <c r="CD6" s="27">
        <v>4</v>
      </c>
      <c r="CE6" s="27" t="s">
        <v>719</v>
      </c>
      <c r="CF6" s="27">
        <v>4.3</v>
      </c>
      <c r="CG6" s="27">
        <v>4</v>
      </c>
      <c r="CH6" s="34">
        <v>43556</v>
      </c>
      <c r="CI6" s="27" t="s">
        <v>697</v>
      </c>
      <c r="CJ6" s="27" t="s">
        <v>697</v>
      </c>
      <c r="CK6" s="27" t="s">
        <v>697</v>
      </c>
      <c r="CL6" s="27" t="s">
        <v>697</v>
      </c>
      <c r="CM6" s="27" t="s">
        <v>697</v>
      </c>
      <c r="CN6" s="27" t="s">
        <v>697</v>
      </c>
      <c r="CO6" s="27" t="s">
        <v>697</v>
      </c>
      <c r="CP6" s="27" t="s">
        <v>697</v>
      </c>
      <c r="CQ6" s="27" t="s">
        <v>697</v>
      </c>
      <c r="CR6" s="27" t="s">
        <v>697</v>
      </c>
      <c r="CS6" s="27" t="s">
        <v>697</v>
      </c>
      <c r="CT6" s="27" t="s">
        <v>697</v>
      </c>
      <c r="CU6" s="27" t="s">
        <v>697</v>
      </c>
      <c r="CV6" s="27" t="s">
        <v>697</v>
      </c>
      <c r="CW6" s="27" t="s">
        <v>697</v>
      </c>
      <c r="CX6" s="27" t="s">
        <v>697</v>
      </c>
      <c r="CY6" s="27" t="s">
        <v>697</v>
      </c>
      <c r="CZ6" s="27" t="s">
        <v>697</v>
      </c>
      <c r="DA6" s="27" t="s">
        <v>697</v>
      </c>
      <c r="DB6" s="27" t="s">
        <v>698</v>
      </c>
      <c r="DC6" s="35">
        <v>278131202.5</v>
      </c>
      <c r="DD6" s="35">
        <v>10321711.4</v>
      </c>
      <c r="DE6" s="27">
        <v>0</v>
      </c>
      <c r="DF6" s="27">
        <v>0</v>
      </c>
      <c r="DG6" s="27" t="s">
        <v>697</v>
      </c>
      <c r="DH6" s="27" t="s">
        <v>697</v>
      </c>
      <c r="DI6" s="27" t="s">
        <v>697</v>
      </c>
      <c r="DJ6" s="27" t="s">
        <v>697</v>
      </c>
      <c r="DK6" s="27" t="s">
        <v>697</v>
      </c>
      <c r="DL6" s="27" t="s">
        <v>697</v>
      </c>
      <c r="DM6" s="27" t="s">
        <v>697</v>
      </c>
      <c r="DN6" s="27" t="s">
        <v>697</v>
      </c>
      <c r="DO6" s="27" t="s">
        <v>697</v>
      </c>
      <c r="DP6" s="27" t="s">
        <v>697</v>
      </c>
      <c r="DQ6" s="27" t="s">
        <v>697</v>
      </c>
      <c r="DR6" s="27" t="s">
        <v>697</v>
      </c>
      <c r="DS6" s="27" t="s">
        <v>697</v>
      </c>
      <c r="DT6" s="27" t="s">
        <v>697</v>
      </c>
      <c r="DU6" s="27" t="s">
        <v>697</v>
      </c>
      <c r="DV6" s="27" t="s">
        <v>697</v>
      </c>
      <c r="DW6" s="27" t="s">
        <v>697</v>
      </c>
      <c r="DX6" s="27" t="s">
        <v>697</v>
      </c>
      <c r="DY6" s="27" t="s">
        <v>697</v>
      </c>
      <c r="DZ6" s="27" t="s">
        <v>697</v>
      </c>
      <c r="EA6" s="27" t="s">
        <v>697</v>
      </c>
      <c r="EB6" s="27" t="s">
        <v>697</v>
      </c>
      <c r="EC6" s="27" t="s">
        <v>697</v>
      </c>
      <c r="ED6" s="27" t="s">
        <v>697</v>
      </c>
      <c r="EE6" s="27" t="s">
        <v>720</v>
      </c>
      <c r="EF6" s="27" t="s">
        <v>697</v>
      </c>
      <c r="EG6" s="27" t="s">
        <v>697</v>
      </c>
      <c r="EH6" s="33">
        <v>0</v>
      </c>
      <c r="EI6" s="27" t="s">
        <v>697</v>
      </c>
      <c r="EJ6" s="27" t="s">
        <v>697</v>
      </c>
      <c r="EK6" s="27" t="s">
        <v>697</v>
      </c>
      <c r="EL6" s="27" t="s">
        <v>697</v>
      </c>
      <c r="EM6" s="27" t="s">
        <v>698</v>
      </c>
      <c r="EN6" s="27" t="s">
        <v>698</v>
      </c>
      <c r="EO6" s="27" t="s">
        <v>698</v>
      </c>
      <c r="EP6" s="27" t="s">
        <v>698</v>
      </c>
      <c r="EQ6" s="27" t="s">
        <v>698</v>
      </c>
      <c r="ER6" s="27" t="s">
        <v>698</v>
      </c>
      <c r="ES6" s="27" t="s">
        <v>697</v>
      </c>
      <c r="ET6" s="27" t="s">
        <v>698</v>
      </c>
      <c r="EU6" s="27" t="s">
        <v>698</v>
      </c>
      <c r="EV6" s="27" t="s">
        <v>698</v>
      </c>
      <c r="EW6" s="27" t="s">
        <v>698</v>
      </c>
      <c r="EX6" s="27" t="s">
        <v>698</v>
      </c>
      <c r="EY6" s="27" t="s">
        <v>698</v>
      </c>
      <c r="EZ6" s="27" t="s">
        <v>697</v>
      </c>
      <c r="FA6" s="27" t="s">
        <v>698</v>
      </c>
      <c r="FB6" s="27" t="s">
        <v>698</v>
      </c>
      <c r="FC6" s="27" t="s">
        <v>698</v>
      </c>
      <c r="FD6" s="27" t="s">
        <v>698</v>
      </c>
      <c r="FE6" s="27" t="s">
        <v>698</v>
      </c>
      <c r="FF6" s="27" t="s">
        <v>698</v>
      </c>
      <c r="FG6" s="27" t="s">
        <v>697</v>
      </c>
      <c r="FH6" s="27" t="s">
        <v>698</v>
      </c>
      <c r="FI6" s="27" t="s">
        <v>698</v>
      </c>
      <c r="FJ6" s="27" t="s">
        <v>698</v>
      </c>
      <c r="FK6" s="27" t="s">
        <v>698</v>
      </c>
      <c r="FL6" s="27" t="s">
        <v>698</v>
      </c>
      <c r="FM6" s="27" t="s">
        <v>698</v>
      </c>
      <c r="FN6" s="27" t="s">
        <v>697</v>
      </c>
      <c r="FO6" s="27" t="s">
        <v>698</v>
      </c>
      <c r="FP6" s="27" t="s">
        <v>698</v>
      </c>
      <c r="FQ6" s="27" t="s">
        <v>698</v>
      </c>
      <c r="FR6" s="27" t="s">
        <v>698</v>
      </c>
      <c r="FS6" s="27" t="s">
        <v>698</v>
      </c>
      <c r="FT6" s="27" t="s">
        <v>698</v>
      </c>
      <c r="FU6" s="27" t="s">
        <v>697</v>
      </c>
      <c r="FV6" s="27" t="s">
        <v>698</v>
      </c>
      <c r="FW6" s="27" t="s">
        <v>698</v>
      </c>
      <c r="FX6" s="27" t="s">
        <v>698</v>
      </c>
      <c r="FY6" s="27" t="s">
        <v>698</v>
      </c>
      <c r="FZ6" s="27" t="s">
        <v>698</v>
      </c>
      <c r="GA6" s="27" t="s">
        <v>698</v>
      </c>
      <c r="GB6" s="27">
        <v>62287608</v>
      </c>
      <c r="GC6" s="27">
        <v>0</v>
      </c>
      <c r="GD6" s="27">
        <v>24000398</v>
      </c>
      <c r="GE6" s="27">
        <v>1013107</v>
      </c>
      <c r="GF6" s="27">
        <v>9859397</v>
      </c>
      <c r="GG6" s="27">
        <v>64505431</v>
      </c>
      <c r="GH6" s="27" t="s">
        <v>697</v>
      </c>
      <c r="GI6" s="27" t="s">
        <v>697</v>
      </c>
      <c r="GJ6" s="27" t="s">
        <v>697</v>
      </c>
      <c r="GK6" s="27" t="s">
        <v>697</v>
      </c>
      <c r="GL6" s="27" t="s">
        <v>697</v>
      </c>
      <c r="GM6" s="27" t="s">
        <v>697</v>
      </c>
      <c r="GN6" s="27" t="s">
        <v>697</v>
      </c>
      <c r="GO6" s="27" t="s">
        <v>697</v>
      </c>
      <c r="GP6" s="27" t="s">
        <v>697</v>
      </c>
      <c r="GQ6" s="27" t="s">
        <v>697</v>
      </c>
      <c r="GR6" s="27" t="s">
        <v>697</v>
      </c>
      <c r="GS6" s="27" t="s">
        <v>697</v>
      </c>
      <c r="GT6" s="27" t="s">
        <v>697</v>
      </c>
      <c r="GU6" s="27" t="s">
        <v>697</v>
      </c>
      <c r="GV6" s="27" t="s">
        <v>697</v>
      </c>
      <c r="GW6" s="27" t="s">
        <v>697</v>
      </c>
      <c r="GX6" s="27" t="s">
        <v>697</v>
      </c>
      <c r="GY6" s="27" t="s">
        <v>697</v>
      </c>
      <c r="GZ6" s="27" t="s">
        <v>697</v>
      </c>
      <c r="HA6" s="27" t="s">
        <v>697</v>
      </c>
      <c r="HB6" s="27" t="s">
        <v>697</v>
      </c>
      <c r="HC6" s="27" t="s">
        <v>697</v>
      </c>
      <c r="HD6" s="27" t="s">
        <v>697</v>
      </c>
      <c r="HE6" s="27" t="s">
        <v>697</v>
      </c>
      <c r="HF6" s="27" t="s">
        <v>697</v>
      </c>
      <c r="HG6" s="27" t="s">
        <v>697</v>
      </c>
      <c r="HH6" s="27" t="s">
        <v>697</v>
      </c>
      <c r="HI6" s="27" t="s">
        <v>697</v>
      </c>
      <c r="HJ6" s="27" t="s">
        <v>697</v>
      </c>
      <c r="HK6" s="27" t="s">
        <v>697</v>
      </c>
      <c r="HL6" s="27" t="s">
        <v>697</v>
      </c>
      <c r="HM6" s="27" t="s">
        <v>697</v>
      </c>
      <c r="HN6" s="27" t="s">
        <v>697</v>
      </c>
      <c r="HO6" s="27" t="s">
        <v>697</v>
      </c>
      <c r="HP6" s="27" t="s">
        <v>697</v>
      </c>
      <c r="HQ6" s="27" t="s">
        <v>697</v>
      </c>
      <c r="HR6" s="27" t="s">
        <v>697</v>
      </c>
      <c r="HS6" s="27" t="s">
        <v>697</v>
      </c>
      <c r="HT6" s="27" t="s">
        <v>697</v>
      </c>
      <c r="HU6" s="27" t="s">
        <v>697</v>
      </c>
      <c r="HV6" s="27" t="s">
        <v>697</v>
      </c>
      <c r="HW6" s="33">
        <v>1</v>
      </c>
      <c r="HX6" s="33">
        <v>1</v>
      </c>
      <c r="HY6" s="27" t="s">
        <v>709</v>
      </c>
      <c r="HZ6" s="27" t="s">
        <v>697</v>
      </c>
      <c r="IA6" s="27" t="s">
        <v>697</v>
      </c>
      <c r="IB6" s="27" t="s">
        <v>697</v>
      </c>
      <c r="IC6" s="27" t="s">
        <v>697</v>
      </c>
      <c r="ID6" s="27" t="s">
        <v>697</v>
      </c>
      <c r="IE6" s="27" t="s">
        <v>697</v>
      </c>
      <c r="IF6" s="27" t="s">
        <v>697</v>
      </c>
      <c r="IG6" s="27" t="s">
        <v>697</v>
      </c>
      <c r="IH6" s="27" t="s">
        <v>697</v>
      </c>
      <c r="II6" s="27" t="s">
        <v>697</v>
      </c>
      <c r="IJ6" s="27" t="s">
        <v>698</v>
      </c>
      <c r="IK6" s="27" t="s">
        <v>698</v>
      </c>
      <c r="IL6" s="27" t="s">
        <v>698</v>
      </c>
      <c r="IM6" s="27" t="s">
        <v>698</v>
      </c>
      <c r="IN6" s="27" t="s">
        <v>698</v>
      </c>
      <c r="IO6" s="27" t="s">
        <v>698</v>
      </c>
      <c r="IP6" s="27" t="s">
        <v>698</v>
      </c>
      <c r="IQ6" s="27" t="s">
        <v>698</v>
      </c>
      <c r="IR6" s="27" t="s">
        <v>698</v>
      </c>
      <c r="IS6" s="27" t="s">
        <v>698</v>
      </c>
      <c r="IT6" s="27" t="s">
        <v>698</v>
      </c>
      <c r="IU6" s="27" t="s">
        <v>698</v>
      </c>
      <c r="IV6" s="27" t="s">
        <v>697</v>
      </c>
      <c r="IW6" s="27" t="s">
        <v>698</v>
      </c>
      <c r="IX6" s="27" t="s">
        <v>698</v>
      </c>
      <c r="IY6" s="27" t="s">
        <v>698</v>
      </c>
      <c r="IZ6" s="27" t="s">
        <v>698</v>
      </c>
      <c r="JA6" s="27" t="s">
        <v>698</v>
      </c>
      <c r="JB6" s="27" t="s">
        <v>698</v>
      </c>
      <c r="JC6" s="27" t="s">
        <v>698</v>
      </c>
      <c r="JD6" s="27" t="s">
        <v>698</v>
      </c>
      <c r="JE6" s="27" t="s">
        <v>698</v>
      </c>
      <c r="JF6" s="27" t="s">
        <v>698</v>
      </c>
      <c r="JG6" s="27" t="s">
        <v>698</v>
      </c>
      <c r="JH6" s="27" t="s">
        <v>698</v>
      </c>
      <c r="JI6" s="27" t="s">
        <v>697</v>
      </c>
      <c r="JJ6" s="27" t="s">
        <v>698</v>
      </c>
      <c r="JK6" s="27" t="s">
        <v>698</v>
      </c>
      <c r="JL6" s="27" t="s">
        <v>698</v>
      </c>
      <c r="JM6" s="27" t="s">
        <v>698</v>
      </c>
      <c r="JN6" s="27" t="s">
        <v>698</v>
      </c>
      <c r="JO6" s="27" t="s">
        <v>698</v>
      </c>
      <c r="JP6" s="27" t="s">
        <v>698</v>
      </c>
      <c r="JQ6" s="27" t="s">
        <v>698</v>
      </c>
      <c r="JR6" s="27" t="s">
        <v>698</v>
      </c>
      <c r="JS6" s="27" t="s">
        <v>697</v>
      </c>
      <c r="JT6" s="27" t="s">
        <v>698</v>
      </c>
      <c r="JU6" s="27" t="s">
        <v>698</v>
      </c>
      <c r="JV6" s="27" t="s">
        <v>698</v>
      </c>
      <c r="JW6" s="27" t="s">
        <v>698</v>
      </c>
      <c r="JX6" s="27" t="s">
        <v>698</v>
      </c>
      <c r="JY6" s="27" t="s">
        <v>698</v>
      </c>
      <c r="JZ6" s="27" t="s">
        <v>698</v>
      </c>
      <c r="KA6" s="27" t="s">
        <v>698</v>
      </c>
      <c r="KB6" s="27" t="s">
        <v>698</v>
      </c>
      <c r="KC6" s="27" t="s">
        <v>698</v>
      </c>
      <c r="KD6" s="27" t="s">
        <v>698</v>
      </c>
      <c r="KE6" s="27" t="s">
        <v>698</v>
      </c>
      <c r="KF6" s="27" t="s">
        <v>697</v>
      </c>
      <c r="KG6" s="27" t="s">
        <v>698</v>
      </c>
      <c r="KH6" s="27" t="s">
        <v>698</v>
      </c>
      <c r="KI6" s="27" t="s">
        <v>698</v>
      </c>
      <c r="KJ6" s="27" t="s">
        <v>698</v>
      </c>
      <c r="KK6" s="27" t="s">
        <v>698</v>
      </c>
      <c r="KL6" s="27" t="s">
        <v>698</v>
      </c>
      <c r="KM6" s="27" t="s">
        <v>698</v>
      </c>
      <c r="KN6" s="27" t="s">
        <v>698</v>
      </c>
      <c r="KO6" s="27" t="s">
        <v>698</v>
      </c>
      <c r="KP6" s="27" t="s">
        <v>698</v>
      </c>
      <c r="KQ6" s="27" t="s">
        <v>698</v>
      </c>
      <c r="KR6" s="27" t="s">
        <v>698</v>
      </c>
      <c r="KS6" s="27" t="s">
        <v>697</v>
      </c>
      <c r="KT6" s="27" t="s">
        <v>698</v>
      </c>
      <c r="KU6" s="27" t="s">
        <v>698</v>
      </c>
      <c r="KV6" s="27" t="s">
        <v>698</v>
      </c>
      <c r="KW6" s="27" t="s">
        <v>698</v>
      </c>
      <c r="KX6" s="27" t="s">
        <v>698</v>
      </c>
      <c r="KY6" s="27" t="s">
        <v>698</v>
      </c>
      <c r="KZ6" s="27" t="s">
        <v>698</v>
      </c>
      <c r="LA6" s="27" t="s">
        <v>698</v>
      </c>
      <c r="LB6" s="27" t="s">
        <v>698</v>
      </c>
      <c r="LC6" s="27" t="s">
        <v>698</v>
      </c>
      <c r="LD6" s="27" t="s">
        <v>698</v>
      </c>
      <c r="LE6" s="27" t="s">
        <v>698</v>
      </c>
      <c r="LF6" s="27" t="s">
        <v>697</v>
      </c>
      <c r="LG6" s="27" t="s">
        <v>697</v>
      </c>
      <c r="LH6" s="27" t="s">
        <v>697</v>
      </c>
      <c r="LI6" s="27" t="s">
        <v>697</v>
      </c>
      <c r="LJ6" s="27" t="s">
        <v>697</v>
      </c>
      <c r="LK6" s="27" t="s">
        <v>697</v>
      </c>
      <c r="LL6" s="27" t="s">
        <v>697</v>
      </c>
      <c r="LM6" s="27" t="s">
        <v>697</v>
      </c>
      <c r="LN6" s="27" t="s">
        <v>697</v>
      </c>
      <c r="LO6" s="27" t="s">
        <v>697</v>
      </c>
      <c r="LP6" s="27" t="s">
        <v>697</v>
      </c>
      <c r="LQ6" s="27" t="s">
        <v>697</v>
      </c>
      <c r="LR6" s="27" t="s">
        <v>697</v>
      </c>
      <c r="LS6" s="27" t="s">
        <v>697</v>
      </c>
      <c r="LT6" s="27" t="s">
        <v>697</v>
      </c>
      <c r="LU6" s="27" t="s">
        <v>697</v>
      </c>
      <c r="LV6" s="27" t="s">
        <v>697</v>
      </c>
      <c r="LW6" s="27" t="s">
        <v>697</v>
      </c>
      <c r="LX6" s="27" t="s">
        <v>701</v>
      </c>
      <c r="LY6" s="33">
        <v>0</v>
      </c>
      <c r="LZ6" s="33">
        <v>0</v>
      </c>
      <c r="MA6" s="33">
        <v>0</v>
      </c>
      <c r="MB6" s="33">
        <v>0</v>
      </c>
      <c r="MC6" s="33">
        <v>0</v>
      </c>
      <c r="MD6" s="33">
        <v>0</v>
      </c>
      <c r="ME6" s="27" t="s">
        <v>697</v>
      </c>
      <c r="MF6" s="27" t="s">
        <v>697</v>
      </c>
      <c r="MG6" s="27" t="s">
        <v>721</v>
      </c>
      <c r="MH6" s="27" t="s">
        <v>701</v>
      </c>
      <c r="MI6" s="27">
        <v>10</v>
      </c>
      <c r="MJ6" s="34">
        <v>44378</v>
      </c>
      <c r="MK6" s="27" t="s">
        <v>722</v>
      </c>
      <c r="ML6" s="27" t="s">
        <v>697</v>
      </c>
      <c r="MM6" s="27" t="s">
        <v>697</v>
      </c>
    </row>
    <row r="7" spans="1:351" ht="36" customHeight="1" x14ac:dyDescent="0.25">
      <c r="A7" s="27">
        <v>2501</v>
      </c>
      <c r="B7" s="27" t="s">
        <v>694</v>
      </c>
      <c r="C7" s="27" t="s">
        <v>695</v>
      </c>
      <c r="D7" s="55">
        <v>1301752</v>
      </c>
      <c r="E7" s="27" t="s">
        <v>696</v>
      </c>
      <c r="F7" s="27" t="s">
        <v>697</v>
      </c>
      <c r="G7" s="27" t="s">
        <v>697</v>
      </c>
      <c r="H7" s="27" t="s">
        <v>697</v>
      </c>
      <c r="I7" s="27" t="s">
        <v>697</v>
      </c>
      <c r="J7" s="27" t="s">
        <v>697</v>
      </c>
      <c r="K7" s="27" t="s">
        <v>697</v>
      </c>
      <c r="L7" s="27" t="s">
        <v>697</v>
      </c>
      <c r="M7" s="27" t="s">
        <v>698</v>
      </c>
      <c r="N7" s="27" t="s">
        <v>697</v>
      </c>
      <c r="O7" s="27" t="s">
        <v>697</v>
      </c>
      <c r="P7" s="27" t="s">
        <v>697</v>
      </c>
      <c r="Q7" s="27" t="s">
        <v>697</v>
      </c>
      <c r="R7" s="27" t="s">
        <v>697</v>
      </c>
      <c r="S7" s="27" t="s">
        <v>697</v>
      </c>
      <c r="T7" s="27" t="s">
        <v>697</v>
      </c>
      <c r="U7" s="27" t="s">
        <v>697</v>
      </c>
      <c r="V7" s="27" t="s">
        <v>697</v>
      </c>
      <c r="W7" s="27" t="s">
        <v>697</v>
      </c>
      <c r="X7" s="27" t="s">
        <v>697</v>
      </c>
      <c r="Y7" s="27" t="s">
        <v>697</v>
      </c>
      <c r="Z7" s="27" t="s">
        <v>697</v>
      </c>
      <c r="AA7" s="27" t="s">
        <v>697</v>
      </c>
      <c r="AB7" s="27" t="s">
        <v>697</v>
      </c>
      <c r="AC7" s="27" t="s">
        <v>697</v>
      </c>
      <c r="AD7" s="27" t="s">
        <v>697</v>
      </c>
      <c r="AE7" s="27" t="s">
        <v>697</v>
      </c>
      <c r="AF7" s="5" t="s">
        <v>697</v>
      </c>
      <c r="AG7" s="27" t="s">
        <v>697</v>
      </c>
      <c r="AH7" s="27" t="s">
        <v>697</v>
      </c>
      <c r="AI7" s="27" t="s">
        <v>697</v>
      </c>
      <c r="AJ7" s="27" t="s">
        <v>697</v>
      </c>
      <c r="AK7" s="27" t="s">
        <v>697</v>
      </c>
      <c r="AL7" s="27" t="s">
        <v>697</v>
      </c>
      <c r="AM7" s="27" t="s">
        <v>697</v>
      </c>
      <c r="AN7" s="27" t="s">
        <v>697</v>
      </c>
      <c r="AO7" s="27" t="s">
        <v>697</v>
      </c>
      <c r="AP7" s="27" t="s">
        <v>697</v>
      </c>
      <c r="AQ7" s="27" t="s">
        <v>697</v>
      </c>
      <c r="AR7" s="27" t="s">
        <v>697</v>
      </c>
      <c r="AS7" s="27" t="s">
        <v>697</v>
      </c>
      <c r="AT7" s="27" t="s">
        <v>697</v>
      </c>
      <c r="AU7" s="27" t="s">
        <v>697</v>
      </c>
      <c r="AV7" s="27" t="s">
        <v>697</v>
      </c>
      <c r="AW7" s="27" t="s">
        <v>697</v>
      </c>
      <c r="AX7" s="27" t="s">
        <v>697</v>
      </c>
      <c r="AY7" s="27" t="s">
        <v>697</v>
      </c>
      <c r="AZ7" s="27" t="s">
        <v>697</v>
      </c>
      <c r="BA7" s="27" t="s">
        <v>698</v>
      </c>
      <c r="BB7" s="27" t="s">
        <v>697</v>
      </c>
      <c r="BC7" s="27" t="s">
        <v>697</v>
      </c>
      <c r="BD7" s="27" t="s">
        <v>697</v>
      </c>
      <c r="BE7" s="27" t="s">
        <v>698</v>
      </c>
      <c r="BF7" s="27" t="s">
        <v>698</v>
      </c>
      <c r="BG7" s="27" t="s">
        <v>697</v>
      </c>
      <c r="BH7" s="27" t="s">
        <v>698</v>
      </c>
      <c r="BI7" s="27" t="s">
        <v>698</v>
      </c>
      <c r="BJ7" s="27" t="s">
        <v>697</v>
      </c>
      <c r="BK7" s="27" t="s">
        <v>698</v>
      </c>
      <c r="BL7" s="27" t="s">
        <v>698</v>
      </c>
      <c r="BM7" s="27" t="s">
        <v>697</v>
      </c>
      <c r="BN7" s="27" t="s">
        <v>698</v>
      </c>
      <c r="BO7" s="27" t="s">
        <v>698</v>
      </c>
      <c r="BP7" s="27" t="s">
        <v>697</v>
      </c>
      <c r="BQ7" s="27" t="s">
        <v>698</v>
      </c>
      <c r="BR7" s="27" t="s">
        <v>698</v>
      </c>
      <c r="BS7" s="27" t="s">
        <v>697</v>
      </c>
      <c r="BT7" s="27" t="s">
        <v>698</v>
      </c>
      <c r="BU7" s="27" t="s">
        <v>698</v>
      </c>
      <c r="BV7" s="27" t="s">
        <v>697</v>
      </c>
      <c r="BW7" s="27" t="s">
        <v>698</v>
      </c>
      <c r="BX7" s="27" t="s">
        <v>698</v>
      </c>
      <c r="BY7" s="27" t="s">
        <v>697</v>
      </c>
      <c r="BZ7" s="27" t="s">
        <v>697</v>
      </c>
      <c r="CA7" s="27" t="s">
        <v>697</v>
      </c>
      <c r="CB7" s="27" t="s">
        <v>697</v>
      </c>
      <c r="CC7" s="27" t="s">
        <v>697</v>
      </c>
      <c r="CD7" s="27" t="s">
        <v>697</v>
      </c>
      <c r="CE7" s="27" t="s">
        <v>697</v>
      </c>
      <c r="CF7" s="27" t="s">
        <v>697</v>
      </c>
      <c r="CG7" s="27" t="s">
        <v>697</v>
      </c>
      <c r="CH7" s="27" t="s">
        <v>697</v>
      </c>
      <c r="CI7" s="27" t="s">
        <v>697</v>
      </c>
      <c r="CJ7" s="27" t="s">
        <v>697</v>
      </c>
      <c r="CK7" s="27" t="s">
        <v>697</v>
      </c>
      <c r="CL7" s="27" t="s">
        <v>697</v>
      </c>
      <c r="CM7" s="27" t="s">
        <v>697</v>
      </c>
      <c r="CN7" s="27" t="s">
        <v>697</v>
      </c>
      <c r="CO7" s="27" t="s">
        <v>697</v>
      </c>
      <c r="CP7" s="27" t="s">
        <v>697</v>
      </c>
      <c r="CQ7" s="27" t="s">
        <v>697</v>
      </c>
      <c r="CR7" s="27" t="s">
        <v>697</v>
      </c>
      <c r="CS7" s="27" t="s">
        <v>697</v>
      </c>
      <c r="CT7" s="27" t="s">
        <v>697</v>
      </c>
      <c r="CU7" s="27" t="s">
        <v>697</v>
      </c>
      <c r="CV7" s="27" t="s">
        <v>697</v>
      </c>
      <c r="CW7" s="27" t="s">
        <v>697</v>
      </c>
      <c r="CX7" s="27" t="s">
        <v>697</v>
      </c>
      <c r="CY7" s="27" t="s">
        <v>697</v>
      </c>
      <c r="CZ7" s="27" t="s">
        <v>697</v>
      </c>
      <c r="DA7" s="27" t="s">
        <v>697</v>
      </c>
      <c r="DB7" s="27" t="s">
        <v>698</v>
      </c>
      <c r="DC7" s="27" t="s">
        <v>697</v>
      </c>
      <c r="DD7" s="27" t="s">
        <v>697</v>
      </c>
      <c r="DE7" s="27" t="s">
        <v>697</v>
      </c>
      <c r="DF7" s="27" t="s">
        <v>697</v>
      </c>
      <c r="DG7" s="27" t="s">
        <v>697</v>
      </c>
      <c r="DH7" s="27" t="s">
        <v>697</v>
      </c>
      <c r="DI7" s="27" t="s">
        <v>697</v>
      </c>
      <c r="DJ7" s="27" t="s">
        <v>697</v>
      </c>
      <c r="DK7" s="27" t="s">
        <v>697</v>
      </c>
      <c r="DL7" s="27" t="s">
        <v>697</v>
      </c>
      <c r="DM7" s="27" t="s">
        <v>697</v>
      </c>
      <c r="DN7" s="27" t="s">
        <v>697</v>
      </c>
      <c r="DO7" s="27" t="s">
        <v>697</v>
      </c>
      <c r="DP7" s="27" t="s">
        <v>697</v>
      </c>
      <c r="DQ7" s="27" t="s">
        <v>697</v>
      </c>
      <c r="DR7" s="27" t="s">
        <v>697</v>
      </c>
      <c r="DS7" s="27" t="s">
        <v>697</v>
      </c>
      <c r="DT7" s="27" t="s">
        <v>697</v>
      </c>
      <c r="DU7" s="27" t="s">
        <v>697</v>
      </c>
      <c r="DV7" s="27" t="s">
        <v>697</v>
      </c>
      <c r="DW7" s="27" t="s">
        <v>697</v>
      </c>
      <c r="DX7" s="27" t="s">
        <v>697</v>
      </c>
      <c r="DY7" s="27" t="s">
        <v>697</v>
      </c>
      <c r="DZ7" s="27" t="s">
        <v>697</v>
      </c>
      <c r="EA7" s="27" t="s">
        <v>697</v>
      </c>
      <c r="EB7" s="27" t="s">
        <v>697</v>
      </c>
      <c r="EC7" s="27" t="s">
        <v>697</v>
      </c>
      <c r="ED7" s="27" t="s">
        <v>697</v>
      </c>
      <c r="EE7" s="27" t="s">
        <v>697</v>
      </c>
      <c r="EF7" s="27" t="s">
        <v>698</v>
      </c>
      <c r="EG7" s="27" t="s">
        <v>698</v>
      </c>
      <c r="EH7" s="27" t="s">
        <v>698</v>
      </c>
      <c r="EI7" s="27" t="s">
        <v>698</v>
      </c>
      <c r="EJ7" s="27" t="s">
        <v>698</v>
      </c>
      <c r="EK7" s="27" t="s">
        <v>698</v>
      </c>
      <c r="EL7" s="27" t="s">
        <v>697</v>
      </c>
      <c r="EM7" s="27" t="s">
        <v>698</v>
      </c>
      <c r="EN7" s="27" t="s">
        <v>698</v>
      </c>
      <c r="EO7" s="27" t="s">
        <v>698</v>
      </c>
      <c r="EP7" s="27" t="s">
        <v>698</v>
      </c>
      <c r="EQ7" s="27" t="s">
        <v>698</v>
      </c>
      <c r="ER7" s="27" t="s">
        <v>698</v>
      </c>
      <c r="ES7" s="27" t="s">
        <v>697</v>
      </c>
      <c r="ET7" s="27" t="s">
        <v>698</v>
      </c>
      <c r="EU7" s="27" t="s">
        <v>698</v>
      </c>
      <c r="EV7" s="27" t="s">
        <v>698</v>
      </c>
      <c r="EW7" s="27" t="s">
        <v>698</v>
      </c>
      <c r="EX7" s="27" t="s">
        <v>698</v>
      </c>
      <c r="EY7" s="27" t="s">
        <v>698</v>
      </c>
      <c r="EZ7" s="27" t="s">
        <v>697</v>
      </c>
      <c r="FA7" s="27" t="s">
        <v>698</v>
      </c>
      <c r="FB7" s="27" t="s">
        <v>698</v>
      </c>
      <c r="FC7" s="27" t="s">
        <v>698</v>
      </c>
      <c r="FD7" s="27" t="s">
        <v>698</v>
      </c>
      <c r="FE7" s="27" t="s">
        <v>698</v>
      </c>
      <c r="FF7" s="27" t="s">
        <v>698</v>
      </c>
      <c r="FG7" s="27" t="s">
        <v>697</v>
      </c>
      <c r="FH7" s="27" t="s">
        <v>698</v>
      </c>
      <c r="FI7" s="27" t="s">
        <v>698</v>
      </c>
      <c r="FJ7" s="27" t="s">
        <v>698</v>
      </c>
      <c r="FK7" s="27" t="s">
        <v>698</v>
      </c>
      <c r="FL7" s="27" t="s">
        <v>698</v>
      </c>
      <c r="FM7" s="27" t="s">
        <v>698</v>
      </c>
      <c r="FN7" s="27" t="s">
        <v>697</v>
      </c>
      <c r="FO7" s="27" t="s">
        <v>698</v>
      </c>
      <c r="FP7" s="27" t="s">
        <v>698</v>
      </c>
      <c r="FQ7" s="27" t="s">
        <v>698</v>
      </c>
      <c r="FR7" s="27" t="s">
        <v>698</v>
      </c>
      <c r="FS7" s="27" t="s">
        <v>698</v>
      </c>
      <c r="FT7" s="27" t="s">
        <v>698</v>
      </c>
      <c r="FU7" s="27" t="s">
        <v>697</v>
      </c>
      <c r="FV7" s="27" t="s">
        <v>698</v>
      </c>
      <c r="FW7" s="27" t="s">
        <v>698</v>
      </c>
      <c r="FX7" s="27" t="s">
        <v>698</v>
      </c>
      <c r="FY7" s="27" t="s">
        <v>698</v>
      </c>
      <c r="FZ7" s="27" t="s">
        <v>698</v>
      </c>
      <c r="GA7" s="27" t="s">
        <v>698</v>
      </c>
      <c r="GB7" s="27" t="s">
        <v>697</v>
      </c>
      <c r="GC7" s="27" t="s">
        <v>697</v>
      </c>
      <c r="GD7" s="27" t="s">
        <v>697</v>
      </c>
      <c r="GE7" s="27" t="s">
        <v>697</v>
      </c>
      <c r="GF7" s="27" t="s">
        <v>697</v>
      </c>
      <c r="GG7" s="27" t="s">
        <v>697</v>
      </c>
      <c r="GH7" s="27" t="s">
        <v>697</v>
      </c>
      <c r="GI7" s="27" t="s">
        <v>697</v>
      </c>
      <c r="GJ7" s="27" t="s">
        <v>697</v>
      </c>
      <c r="GK7" s="27" t="s">
        <v>697</v>
      </c>
      <c r="GL7" s="27" t="s">
        <v>697</v>
      </c>
      <c r="GM7" s="27" t="s">
        <v>697</v>
      </c>
      <c r="GN7" s="27" t="s">
        <v>697</v>
      </c>
      <c r="GO7" s="27" t="s">
        <v>697</v>
      </c>
      <c r="GP7" s="27" t="s">
        <v>697</v>
      </c>
      <c r="GQ7" s="27" t="s">
        <v>697</v>
      </c>
      <c r="GR7" s="27" t="s">
        <v>697</v>
      </c>
      <c r="GS7" s="27" t="s">
        <v>697</v>
      </c>
      <c r="GT7" s="27" t="s">
        <v>697</v>
      </c>
      <c r="GU7" s="27" t="s">
        <v>697</v>
      </c>
      <c r="GV7" s="27" t="s">
        <v>697</v>
      </c>
      <c r="GW7" s="27" t="s">
        <v>697</v>
      </c>
      <c r="GX7" s="27" t="s">
        <v>697</v>
      </c>
      <c r="GY7" s="27" t="s">
        <v>697</v>
      </c>
      <c r="GZ7" s="27" t="s">
        <v>697</v>
      </c>
      <c r="HA7" s="27" t="s">
        <v>697</v>
      </c>
      <c r="HB7" s="27" t="s">
        <v>697</v>
      </c>
      <c r="HC7" s="27" t="s">
        <v>697</v>
      </c>
      <c r="HD7" s="27" t="s">
        <v>697</v>
      </c>
      <c r="HE7" s="27" t="s">
        <v>697</v>
      </c>
      <c r="HF7" s="27" t="s">
        <v>697</v>
      </c>
      <c r="HG7" s="27" t="s">
        <v>697</v>
      </c>
      <c r="HH7" s="27" t="s">
        <v>697</v>
      </c>
      <c r="HI7" s="27" t="s">
        <v>697</v>
      </c>
      <c r="HJ7" s="27" t="s">
        <v>697</v>
      </c>
      <c r="HK7" s="27" t="s">
        <v>697</v>
      </c>
      <c r="HL7" s="27" t="s">
        <v>697</v>
      </c>
      <c r="HM7" s="27" t="s">
        <v>697</v>
      </c>
      <c r="HN7" s="27" t="s">
        <v>697</v>
      </c>
      <c r="HO7" s="27" t="s">
        <v>697</v>
      </c>
      <c r="HP7" s="27" t="s">
        <v>697</v>
      </c>
      <c r="HQ7" s="27" t="s">
        <v>697</v>
      </c>
      <c r="HR7" s="27" t="s">
        <v>697</v>
      </c>
      <c r="HS7" s="27" t="s">
        <v>698</v>
      </c>
      <c r="HT7" s="27" t="s">
        <v>698</v>
      </c>
      <c r="HU7" s="27" t="s">
        <v>698</v>
      </c>
      <c r="HV7" s="27" t="s">
        <v>698</v>
      </c>
      <c r="HW7" s="27" t="s">
        <v>698</v>
      </c>
      <c r="HX7" s="27" t="s">
        <v>698</v>
      </c>
      <c r="HY7" s="27" t="s">
        <v>697</v>
      </c>
      <c r="HZ7" s="27" t="s">
        <v>698</v>
      </c>
      <c r="IA7" s="27" t="s">
        <v>698</v>
      </c>
      <c r="IB7" s="27" t="s">
        <v>698</v>
      </c>
      <c r="IC7" s="27" t="s">
        <v>698</v>
      </c>
      <c r="ID7" s="27" t="s">
        <v>698</v>
      </c>
      <c r="IE7" s="27" t="s">
        <v>698</v>
      </c>
      <c r="IF7" s="27" t="s">
        <v>698</v>
      </c>
      <c r="IG7" s="27" t="s">
        <v>698</v>
      </c>
      <c r="IH7" s="27" t="s">
        <v>698</v>
      </c>
      <c r="II7" s="27" t="s">
        <v>697</v>
      </c>
      <c r="IJ7" s="27" t="s">
        <v>698</v>
      </c>
      <c r="IK7" s="27" t="s">
        <v>698</v>
      </c>
      <c r="IL7" s="27" t="s">
        <v>698</v>
      </c>
      <c r="IM7" s="27" t="s">
        <v>698</v>
      </c>
      <c r="IN7" s="27" t="s">
        <v>698</v>
      </c>
      <c r="IO7" s="27" t="s">
        <v>698</v>
      </c>
      <c r="IP7" s="27" t="s">
        <v>698</v>
      </c>
      <c r="IQ7" s="27" t="s">
        <v>698</v>
      </c>
      <c r="IR7" s="27" t="s">
        <v>698</v>
      </c>
      <c r="IS7" s="27" t="s">
        <v>698</v>
      </c>
      <c r="IT7" s="27" t="s">
        <v>698</v>
      </c>
      <c r="IU7" s="27" t="s">
        <v>698</v>
      </c>
      <c r="IV7" s="27" t="s">
        <v>697</v>
      </c>
      <c r="IW7" s="27" t="s">
        <v>698</v>
      </c>
      <c r="IX7" s="27" t="s">
        <v>698</v>
      </c>
      <c r="IY7" s="27" t="s">
        <v>698</v>
      </c>
      <c r="IZ7" s="27" t="s">
        <v>698</v>
      </c>
      <c r="JA7" s="27" t="s">
        <v>698</v>
      </c>
      <c r="JB7" s="27" t="s">
        <v>698</v>
      </c>
      <c r="JC7" s="27" t="s">
        <v>698</v>
      </c>
      <c r="JD7" s="27" t="s">
        <v>698</v>
      </c>
      <c r="JE7" s="27" t="s">
        <v>698</v>
      </c>
      <c r="JF7" s="27" t="s">
        <v>698</v>
      </c>
      <c r="JG7" s="27" t="s">
        <v>698</v>
      </c>
      <c r="JH7" s="27" t="s">
        <v>698</v>
      </c>
      <c r="JI7" s="27" t="s">
        <v>697</v>
      </c>
      <c r="JJ7" s="27" t="s">
        <v>698</v>
      </c>
      <c r="JK7" s="27" t="s">
        <v>698</v>
      </c>
      <c r="JL7" s="27" t="s">
        <v>698</v>
      </c>
      <c r="JM7" s="27" t="s">
        <v>698</v>
      </c>
      <c r="JN7" s="27" t="s">
        <v>698</v>
      </c>
      <c r="JO7" s="27" t="s">
        <v>698</v>
      </c>
      <c r="JP7" s="27" t="s">
        <v>698</v>
      </c>
      <c r="JQ7" s="27" t="s">
        <v>698</v>
      </c>
      <c r="JR7" s="27" t="s">
        <v>698</v>
      </c>
      <c r="JS7" s="27" t="s">
        <v>697</v>
      </c>
      <c r="JT7" s="27" t="s">
        <v>698</v>
      </c>
      <c r="JU7" s="27" t="s">
        <v>698</v>
      </c>
      <c r="JV7" s="27" t="s">
        <v>698</v>
      </c>
      <c r="JW7" s="27" t="s">
        <v>698</v>
      </c>
      <c r="JX7" s="27" t="s">
        <v>698</v>
      </c>
      <c r="JY7" s="27" t="s">
        <v>698</v>
      </c>
      <c r="JZ7" s="27" t="s">
        <v>698</v>
      </c>
      <c r="KA7" s="27" t="s">
        <v>698</v>
      </c>
      <c r="KB7" s="27" t="s">
        <v>698</v>
      </c>
      <c r="KC7" s="27" t="s">
        <v>698</v>
      </c>
      <c r="KD7" s="27" t="s">
        <v>698</v>
      </c>
      <c r="KE7" s="27" t="s">
        <v>698</v>
      </c>
      <c r="KF7" s="27" t="s">
        <v>697</v>
      </c>
      <c r="KG7" s="27" t="s">
        <v>698</v>
      </c>
      <c r="KH7" s="27" t="s">
        <v>698</v>
      </c>
      <c r="KI7" s="27" t="s">
        <v>698</v>
      </c>
      <c r="KJ7" s="27" t="s">
        <v>698</v>
      </c>
      <c r="KK7" s="27" t="s">
        <v>698</v>
      </c>
      <c r="KL7" s="27" t="s">
        <v>698</v>
      </c>
      <c r="KM7" s="27" t="s">
        <v>698</v>
      </c>
      <c r="KN7" s="27" t="s">
        <v>698</v>
      </c>
      <c r="KO7" s="27" t="s">
        <v>698</v>
      </c>
      <c r="KP7" s="27" t="s">
        <v>698</v>
      </c>
      <c r="KQ7" s="27" t="s">
        <v>698</v>
      </c>
      <c r="KR7" s="27" t="s">
        <v>698</v>
      </c>
      <c r="KS7" s="27" t="s">
        <v>697</v>
      </c>
      <c r="KT7" s="27" t="s">
        <v>698</v>
      </c>
      <c r="KU7" s="27" t="s">
        <v>698</v>
      </c>
      <c r="KV7" s="27" t="s">
        <v>698</v>
      </c>
      <c r="KW7" s="27" t="s">
        <v>698</v>
      </c>
      <c r="KX7" s="27" t="s">
        <v>698</v>
      </c>
      <c r="KY7" s="27" t="s">
        <v>698</v>
      </c>
      <c r="KZ7" s="27" t="s">
        <v>698</v>
      </c>
      <c r="LA7" s="27" t="s">
        <v>698</v>
      </c>
      <c r="LB7" s="27" t="s">
        <v>698</v>
      </c>
      <c r="LC7" s="27" t="s">
        <v>698</v>
      </c>
      <c r="LD7" s="27" t="s">
        <v>698</v>
      </c>
      <c r="LE7" s="27" t="s">
        <v>698</v>
      </c>
      <c r="LF7" s="27" t="s">
        <v>697</v>
      </c>
      <c r="LG7" s="27" t="s">
        <v>698</v>
      </c>
      <c r="LH7" s="27" t="s">
        <v>697</v>
      </c>
      <c r="LI7" s="27" t="s">
        <v>698</v>
      </c>
      <c r="LJ7" s="27" t="s">
        <v>697</v>
      </c>
      <c r="LK7" s="27" t="s">
        <v>698</v>
      </c>
      <c r="LL7" s="27" t="s">
        <v>698</v>
      </c>
      <c r="LM7" s="27" t="s">
        <v>698</v>
      </c>
      <c r="LN7" s="27" t="s">
        <v>698</v>
      </c>
      <c r="LO7" s="27" t="s">
        <v>698</v>
      </c>
      <c r="LP7" s="27" t="s">
        <v>698</v>
      </c>
      <c r="LQ7" s="27" t="s">
        <v>698</v>
      </c>
      <c r="LR7" s="27" t="s">
        <v>698</v>
      </c>
      <c r="LS7" s="27" t="s">
        <v>698</v>
      </c>
      <c r="LT7" s="27" t="s">
        <v>698</v>
      </c>
      <c r="LU7" s="27" t="s">
        <v>698</v>
      </c>
      <c r="LV7" s="27" t="s">
        <v>698</v>
      </c>
      <c r="LW7" s="27" t="s">
        <v>698</v>
      </c>
      <c r="LX7" s="27" t="s">
        <v>697</v>
      </c>
      <c r="LY7" s="27" t="s">
        <v>698</v>
      </c>
      <c r="LZ7" s="27" t="s">
        <v>698</v>
      </c>
      <c r="MA7" s="27" t="s">
        <v>698</v>
      </c>
      <c r="MB7" s="27" t="s">
        <v>698</v>
      </c>
      <c r="MC7" s="27" t="s">
        <v>698</v>
      </c>
      <c r="MD7" s="27" t="s">
        <v>698</v>
      </c>
      <c r="ME7" s="27" t="s">
        <v>697</v>
      </c>
      <c r="MF7" s="27" t="s">
        <v>697</v>
      </c>
      <c r="MG7" s="27" t="s">
        <v>698</v>
      </c>
      <c r="MH7" s="27" t="s">
        <v>698</v>
      </c>
      <c r="MI7" s="27" t="s">
        <v>698</v>
      </c>
      <c r="MJ7" s="27" t="s">
        <v>698</v>
      </c>
      <c r="MK7" s="27" t="s">
        <v>698</v>
      </c>
      <c r="ML7" s="27" t="s">
        <v>697</v>
      </c>
      <c r="MM7" s="27" t="s">
        <v>698</v>
      </c>
    </row>
    <row r="8" spans="1:351" ht="62.25" customHeight="1" x14ac:dyDescent="0.25">
      <c r="A8" s="27">
        <v>2601</v>
      </c>
      <c r="B8" s="27" t="s">
        <v>699</v>
      </c>
      <c r="C8" s="27" t="s">
        <v>842</v>
      </c>
      <c r="D8" s="55">
        <v>4047088</v>
      </c>
      <c r="E8" s="27" t="s">
        <v>700</v>
      </c>
      <c r="F8" s="27">
        <v>26</v>
      </c>
      <c r="G8" s="27">
        <v>26</v>
      </c>
      <c r="H8" s="27">
        <v>0</v>
      </c>
      <c r="I8" s="27" t="s">
        <v>697</v>
      </c>
      <c r="J8" s="27" t="s">
        <v>697</v>
      </c>
      <c r="K8" s="27" t="s">
        <v>697</v>
      </c>
      <c r="L8" s="27" t="s">
        <v>697</v>
      </c>
      <c r="M8" s="38" t="s">
        <v>698</v>
      </c>
      <c r="N8" s="27">
        <v>2561</v>
      </c>
      <c r="O8" s="27">
        <v>140</v>
      </c>
      <c r="P8" s="27">
        <v>0</v>
      </c>
      <c r="Q8" s="27">
        <v>0</v>
      </c>
      <c r="R8" s="27">
        <v>2515</v>
      </c>
      <c r="S8" s="27">
        <v>100</v>
      </c>
      <c r="T8" s="27" t="s">
        <v>697</v>
      </c>
      <c r="U8" s="27" t="s">
        <v>697</v>
      </c>
      <c r="V8" s="27" t="s">
        <v>697</v>
      </c>
      <c r="W8" s="27" t="s">
        <v>697</v>
      </c>
      <c r="X8" s="27" t="s">
        <v>697</v>
      </c>
      <c r="Y8" s="27" t="s">
        <v>697</v>
      </c>
      <c r="Z8" s="27" t="s">
        <v>697</v>
      </c>
      <c r="AA8" s="27" t="s">
        <v>697</v>
      </c>
      <c r="AB8" s="27" t="s">
        <v>697</v>
      </c>
      <c r="AC8" s="27" t="s">
        <v>697</v>
      </c>
      <c r="AD8" s="27" t="s">
        <v>697</v>
      </c>
      <c r="AE8" s="27" t="s">
        <v>697</v>
      </c>
      <c r="AF8" s="5">
        <v>177661382</v>
      </c>
      <c r="AG8" s="27" t="s">
        <v>697</v>
      </c>
      <c r="AH8" s="27" t="s">
        <v>697</v>
      </c>
      <c r="AI8" s="27" t="s">
        <v>697</v>
      </c>
      <c r="AJ8" s="27" t="s">
        <v>697</v>
      </c>
      <c r="AK8" s="27" t="s">
        <v>697</v>
      </c>
      <c r="AL8" s="27" t="s">
        <v>697</v>
      </c>
      <c r="AM8" s="27">
        <v>52</v>
      </c>
      <c r="AN8" s="27" t="s">
        <v>697</v>
      </c>
      <c r="AO8" s="27" t="s">
        <v>697</v>
      </c>
      <c r="AP8" s="27" t="s">
        <v>697</v>
      </c>
      <c r="AQ8" s="27" t="s">
        <v>697</v>
      </c>
      <c r="AR8" s="27" t="s">
        <v>697</v>
      </c>
      <c r="AS8" s="27">
        <v>0</v>
      </c>
      <c r="AT8" s="27">
        <v>0</v>
      </c>
      <c r="AU8" s="27">
        <v>0</v>
      </c>
      <c r="AV8" s="27">
        <v>0</v>
      </c>
      <c r="AW8" s="27" t="s">
        <v>697</v>
      </c>
      <c r="AX8" s="27" t="s">
        <v>697</v>
      </c>
      <c r="AY8" s="27" t="s">
        <v>697</v>
      </c>
      <c r="AZ8" s="27" t="s">
        <v>697</v>
      </c>
      <c r="BA8" s="27" t="s">
        <v>698</v>
      </c>
      <c r="BB8" s="59" t="s">
        <v>697</v>
      </c>
      <c r="BC8" s="59" t="s">
        <v>697</v>
      </c>
      <c r="BD8" s="27" t="s">
        <v>701</v>
      </c>
      <c r="BE8" s="33">
        <v>0.95</v>
      </c>
      <c r="BF8" s="33">
        <v>0.05</v>
      </c>
      <c r="BG8" s="27" t="s">
        <v>697</v>
      </c>
      <c r="BH8" s="27" t="s">
        <v>698</v>
      </c>
      <c r="BI8" s="27" t="s">
        <v>698</v>
      </c>
      <c r="BJ8" s="27" t="s">
        <v>697</v>
      </c>
      <c r="BK8" s="27" t="s">
        <v>698</v>
      </c>
      <c r="BL8" s="27" t="s">
        <v>698</v>
      </c>
      <c r="BM8" s="27" t="s">
        <v>697</v>
      </c>
      <c r="BN8" s="27" t="s">
        <v>698</v>
      </c>
      <c r="BO8" s="27" t="s">
        <v>698</v>
      </c>
      <c r="BP8" s="27" t="s">
        <v>697</v>
      </c>
      <c r="BQ8" s="27" t="s">
        <v>698</v>
      </c>
      <c r="BR8" s="27" t="s">
        <v>698</v>
      </c>
      <c r="BS8" s="27" t="s">
        <v>697</v>
      </c>
      <c r="BT8" s="27" t="s">
        <v>698</v>
      </c>
      <c r="BU8" s="27" t="s">
        <v>698</v>
      </c>
      <c r="BV8" s="27" t="s">
        <v>697</v>
      </c>
      <c r="BW8" s="27" t="s">
        <v>698</v>
      </c>
      <c r="BX8" s="27" t="s">
        <v>698</v>
      </c>
      <c r="BY8" s="27" t="s">
        <v>702</v>
      </c>
      <c r="BZ8" s="27">
        <v>9</v>
      </c>
      <c r="CA8" s="27">
        <v>8</v>
      </c>
      <c r="CB8" s="27" t="s">
        <v>702</v>
      </c>
      <c r="CC8" s="27">
        <v>7</v>
      </c>
      <c r="CD8" s="27">
        <v>6</v>
      </c>
      <c r="CE8" s="27" t="s">
        <v>702</v>
      </c>
      <c r="CF8" s="27">
        <v>5</v>
      </c>
      <c r="CG8" s="27">
        <v>4</v>
      </c>
      <c r="CH8" s="34">
        <v>44228</v>
      </c>
      <c r="CI8" s="27" t="s">
        <v>697</v>
      </c>
      <c r="CJ8" s="27" t="s">
        <v>697</v>
      </c>
      <c r="CK8" s="27" t="s">
        <v>697</v>
      </c>
      <c r="CL8" s="27" t="s">
        <v>697</v>
      </c>
      <c r="CM8" s="27" t="s">
        <v>697</v>
      </c>
      <c r="CN8" s="27" t="s">
        <v>697</v>
      </c>
      <c r="CO8" s="27" t="s">
        <v>697</v>
      </c>
      <c r="CP8" s="27" t="s">
        <v>697</v>
      </c>
      <c r="CQ8" s="27" t="s">
        <v>697</v>
      </c>
      <c r="CR8" s="27" t="s">
        <v>697</v>
      </c>
      <c r="CS8" s="27" t="s">
        <v>697</v>
      </c>
      <c r="CT8" s="27" t="s">
        <v>697</v>
      </c>
      <c r="CU8" s="27" t="s">
        <v>697</v>
      </c>
      <c r="CV8" s="27" t="s">
        <v>697</v>
      </c>
      <c r="CW8" s="27" t="s">
        <v>697</v>
      </c>
      <c r="CX8" s="27" t="s">
        <v>697</v>
      </c>
      <c r="CY8" s="27" t="s">
        <v>697</v>
      </c>
      <c r="CZ8" s="27" t="s">
        <v>697</v>
      </c>
      <c r="DA8" s="27" t="s">
        <v>697</v>
      </c>
      <c r="DB8" s="27" t="s">
        <v>703</v>
      </c>
      <c r="DC8" s="35">
        <v>660313481.49000001</v>
      </c>
      <c r="DD8" s="35">
        <v>7170268.1200000001</v>
      </c>
      <c r="DE8" s="35">
        <v>57523225.469999999</v>
      </c>
      <c r="DF8" s="27" t="s">
        <v>698</v>
      </c>
      <c r="DG8" s="27" t="s">
        <v>697</v>
      </c>
      <c r="DH8" s="27" t="s">
        <v>697</v>
      </c>
      <c r="DI8" s="27" t="s">
        <v>697</v>
      </c>
      <c r="DJ8" s="27" t="s">
        <v>697</v>
      </c>
      <c r="DK8" s="27" t="s">
        <v>697</v>
      </c>
      <c r="DL8" s="27" t="s">
        <v>697</v>
      </c>
      <c r="DM8" s="27" t="s">
        <v>697</v>
      </c>
      <c r="DN8" s="27" t="s">
        <v>697</v>
      </c>
      <c r="DO8" s="27" t="s">
        <v>697</v>
      </c>
      <c r="DP8" s="27" t="s">
        <v>697</v>
      </c>
      <c r="DQ8" s="27" t="s">
        <v>697</v>
      </c>
      <c r="DR8" s="27" t="s">
        <v>697</v>
      </c>
      <c r="DS8" s="27" t="s">
        <v>697</v>
      </c>
      <c r="DT8" s="27" t="s">
        <v>697</v>
      </c>
      <c r="DU8" s="27" t="s">
        <v>697</v>
      </c>
      <c r="DV8" s="27" t="s">
        <v>697</v>
      </c>
      <c r="DW8" s="27" t="s">
        <v>697</v>
      </c>
      <c r="DX8" s="27" t="s">
        <v>697</v>
      </c>
      <c r="DY8" s="27" t="s">
        <v>697</v>
      </c>
      <c r="DZ8" s="27" t="s">
        <v>697</v>
      </c>
      <c r="EA8" s="27" t="s">
        <v>697</v>
      </c>
      <c r="EB8" s="27" t="s">
        <v>697</v>
      </c>
      <c r="EC8" s="27" t="s">
        <v>697</v>
      </c>
      <c r="ED8" s="27" t="s">
        <v>697</v>
      </c>
      <c r="EE8" s="27" t="s">
        <v>704</v>
      </c>
      <c r="EF8" s="33">
        <v>0.02</v>
      </c>
      <c r="EG8" s="27" t="s">
        <v>697</v>
      </c>
      <c r="EH8" s="27" t="s">
        <v>697</v>
      </c>
      <c r="EI8" s="27" t="s">
        <v>697</v>
      </c>
      <c r="EJ8" s="27" t="s">
        <v>697</v>
      </c>
      <c r="EK8" s="27" t="s">
        <v>697</v>
      </c>
      <c r="EL8" s="27" t="s">
        <v>697</v>
      </c>
      <c r="EM8" s="27" t="s">
        <v>698</v>
      </c>
      <c r="EN8" s="27" t="s">
        <v>698</v>
      </c>
      <c r="EO8" s="27" t="s">
        <v>698</v>
      </c>
      <c r="EP8" s="27" t="s">
        <v>698</v>
      </c>
      <c r="EQ8" s="27" t="s">
        <v>698</v>
      </c>
      <c r="ER8" s="27" t="s">
        <v>698</v>
      </c>
      <c r="ES8" s="27" t="s">
        <v>697</v>
      </c>
      <c r="ET8" s="27" t="s">
        <v>698</v>
      </c>
      <c r="EU8" s="27" t="s">
        <v>698</v>
      </c>
      <c r="EV8" s="27" t="s">
        <v>698</v>
      </c>
      <c r="EW8" s="27" t="s">
        <v>698</v>
      </c>
      <c r="EX8" s="27" t="s">
        <v>698</v>
      </c>
      <c r="EY8" s="27" t="s">
        <v>698</v>
      </c>
      <c r="EZ8" s="27" t="s">
        <v>697</v>
      </c>
      <c r="FA8" s="27" t="s">
        <v>698</v>
      </c>
      <c r="FB8" s="27" t="s">
        <v>698</v>
      </c>
      <c r="FC8" s="27" t="s">
        <v>698</v>
      </c>
      <c r="FD8" s="27" t="s">
        <v>698</v>
      </c>
      <c r="FE8" s="27" t="s">
        <v>698</v>
      </c>
      <c r="FF8" s="27" t="s">
        <v>698</v>
      </c>
      <c r="FG8" s="27" t="s">
        <v>697</v>
      </c>
      <c r="FH8" s="27" t="s">
        <v>698</v>
      </c>
      <c r="FI8" s="27" t="s">
        <v>698</v>
      </c>
      <c r="FJ8" s="27" t="s">
        <v>698</v>
      </c>
      <c r="FK8" s="27" t="s">
        <v>698</v>
      </c>
      <c r="FL8" s="27" t="s">
        <v>698</v>
      </c>
      <c r="FM8" s="27" t="s">
        <v>698</v>
      </c>
      <c r="FN8" s="27" t="s">
        <v>697</v>
      </c>
      <c r="FO8" s="27" t="s">
        <v>698</v>
      </c>
      <c r="FP8" s="27" t="s">
        <v>698</v>
      </c>
      <c r="FQ8" s="27" t="s">
        <v>698</v>
      </c>
      <c r="FR8" s="27" t="s">
        <v>698</v>
      </c>
      <c r="FS8" s="27" t="s">
        <v>698</v>
      </c>
      <c r="FT8" s="27" t="s">
        <v>698</v>
      </c>
      <c r="FU8" s="27" t="s">
        <v>697</v>
      </c>
      <c r="FV8" s="27" t="s">
        <v>698</v>
      </c>
      <c r="FW8" s="27" t="s">
        <v>698</v>
      </c>
      <c r="FX8" s="27" t="s">
        <v>698</v>
      </c>
      <c r="FY8" s="27" t="s">
        <v>698</v>
      </c>
      <c r="FZ8" s="27" t="s">
        <v>698</v>
      </c>
      <c r="GA8" s="27" t="s">
        <v>698</v>
      </c>
      <c r="GB8" s="27">
        <v>147903370</v>
      </c>
      <c r="GC8" s="27" t="s">
        <v>698</v>
      </c>
      <c r="GD8" s="27">
        <v>4136016</v>
      </c>
      <c r="GE8" s="27">
        <v>5072014</v>
      </c>
      <c r="GF8" s="27">
        <v>10288417</v>
      </c>
      <c r="GG8" s="27">
        <v>127577253</v>
      </c>
      <c r="GH8" s="27" t="s">
        <v>697</v>
      </c>
      <c r="GI8" s="27" t="s">
        <v>697</v>
      </c>
      <c r="GJ8" s="27" t="s">
        <v>697</v>
      </c>
      <c r="GK8" s="27" t="s">
        <v>697</v>
      </c>
      <c r="GL8" s="27" t="s">
        <v>697</v>
      </c>
      <c r="GM8" s="27" t="s">
        <v>697</v>
      </c>
      <c r="GN8" s="27" t="s">
        <v>697</v>
      </c>
      <c r="GO8" s="27" t="s">
        <v>697</v>
      </c>
      <c r="GP8" s="27" t="s">
        <v>697</v>
      </c>
      <c r="GQ8" s="27" t="s">
        <v>697</v>
      </c>
      <c r="GR8" s="27" t="s">
        <v>697</v>
      </c>
      <c r="GS8" s="27" t="s">
        <v>697</v>
      </c>
      <c r="GT8" s="27" t="s">
        <v>697</v>
      </c>
      <c r="GU8" s="27" t="s">
        <v>697</v>
      </c>
      <c r="GV8" s="27" t="s">
        <v>697</v>
      </c>
      <c r="GW8" s="27" t="s">
        <v>697</v>
      </c>
      <c r="GX8" s="27" t="s">
        <v>697</v>
      </c>
      <c r="GY8" s="27" t="s">
        <v>697</v>
      </c>
      <c r="GZ8" s="27" t="s">
        <v>697</v>
      </c>
      <c r="HA8" s="27" t="s">
        <v>697</v>
      </c>
      <c r="HB8" s="27" t="s">
        <v>697</v>
      </c>
      <c r="HC8" s="27" t="s">
        <v>697</v>
      </c>
      <c r="HD8" s="27" t="s">
        <v>697</v>
      </c>
      <c r="HE8" s="27" t="s">
        <v>697</v>
      </c>
      <c r="HF8" s="27" t="s">
        <v>697</v>
      </c>
      <c r="HG8" s="27" t="s">
        <v>697</v>
      </c>
      <c r="HH8" s="27" t="s">
        <v>697</v>
      </c>
      <c r="HI8" s="27" t="s">
        <v>697</v>
      </c>
      <c r="HJ8" s="27" t="s">
        <v>697</v>
      </c>
      <c r="HK8" s="27" t="s">
        <v>697</v>
      </c>
      <c r="HL8" s="27" t="s">
        <v>697</v>
      </c>
      <c r="HM8" s="27" t="s">
        <v>697</v>
      </c>
      <c r="HN8" s="27" t="s">
        <v>697</v>
      </c>
      <c r="HO8" s="27" t="s">
        <v>697</v>
      </c>
      <c r="HP8" s="27" t="s">
        <v>697</v>
      </c>
      <c r="HQ8" s="27" t="s">
        <v>697</v>
      </c>
      <c r="HR8" s="27" t="s">
        <v>705</v>
      </c>
      <c r="HS8" s="27" t="s">
        <v>697</v>
      </c>
      <c r="HT8" s="27" t="s">
        <v>697</v>
      </c>
      <c r="HU8" s="27" t="s">
        <v>697</v>
      </c>
      <c r="HV8" s="33">
        <v>1</v>
      </c>
      <c r="HW8" s="33">
        <v>1</v>
      </c>
      <c r="HX8" s="33">
        <v>0.5</v>
      </c>
      <c r="HY8" s="27" t="s">
        <v>701</v>
      </c>
      <c r="HZ8" s="33">
        <v>4.0190000000000001</v>
      </c>
      <c r="IA8" s="33">
        <v>0.05</v>
      </c>
      <c r="IB8" s="33">
        <v>0.2</v>
      </c>
      <c r="IC8" s="33">
        <v>0.08</v>
      </c>
      <c r="ID8" s="33">
        <v>0.05</v>
      </c>
      <c r="IE8" s="33">
        <v>0.09</v>
      </c>
      <c r="IF8" s="33">
        <v>0.02</v>
      </c>
      <c r="IG8" s="33">
        <v>0.01</v>
      </c>
      <c r="IH8" s="33">
        <v>0.06</v>
      </c>
      <c r="II8" s="27" t="s">
        <v>697</v>
      </c>
      <c r="IJ8" s="27" t="s">
        <v>698</v>
      </c>
      <c r="IK8" s="27" t="s">
        <v>698</v>
      </c>
      <c r="IL8" s="27" t="s">
        <v>698</v>
      </c>
      <c r="IM8" s="27" t="s">
        <v>698</v>
      </c>
      <c r="IN8" s="27" t="s">
        <v>698</v>
      </c>
      <c r="IO8" s="27" t="s">
        <v>698</v>
      </c>
      <c r="IP8" s="27" t="s">
        <v>698</v>
      </c>
      <c r="IQ8" s="27" t="s">
        <v>698</v>
      </c>
      <c r="IR8" s="27" t="s">
        <v>698</v>
      </c>
      <c r="IS8" s="27" t="s">
        <v>698</v>
      </c>
      <c r="IT8" s="27" t="s">
        <v>698</v>
      </c>
      <c r="IU8" s="27" t="s">
        <v>698</v>
      </c>
      <c r="IV8" s="27" t="s">
        <v>697</v>
      </c>
      <c r="IW8" s="27" t="s">
        <v>698</v>
      </c>
      <c r="IX8" s="27" t="s">
        <v>698</v>
      </c>
      <c r="IY8" s="27" t="s">
        <v>698</v>
      </c>
      <c r="IZ8" s="27" t="s">
        <v>698</v>
      </c>
      <c r="JA8" s="27" t="s">
        <v>698</v>
      </c>
      <c r="JB8" s="27" t="s">
        <v>698</v>
      </c>
      <c r="JC8" s="27" t="s">
        <v>698</v>
      </c>
      <c r="JD8" s="27" t="s">
        <v>698</v>
      </c>
      <c r="JE8" s="27" t="s">
        <v>698</v>
      </c>
      <c r="JF8" s="27" t="s">
        <v>698</v>
      </c>
      <c r="JG8" s="27" t="s">
        <v>698</v>
      </c>
      <c r="JH8" s="27" t="s">
        <v>698</v>
      </c>
      <c r="JI8" s="27" t="s">
        <v>697</v>
      </c>
      <c r="JJ8" s="27" t="s">
        <v>698</v>
      </c>
      <c r="JK8" s="27" t="s">
        <v>698</v>
      </c>
      <c r="JL8" s="27" t="s">
        <v>698</v>
      </c>
      <c r="JM8" s="27" t="s">
        <v>698</v>
      </c>
      <c r="JN8" s="27" t="s">
        <v>698</v>
      </c>
      <c r="JO8" s="27" t="s">
        <v>698</v>
      </c>
      <c r="JP8" s="27" t="s">
        <v>698</v>
      </c>
      <c r="JQ8" s="27" t="s">
        <v>698</v>
      </c>
      <c r="JR8" s="27" t="s">
        <v>698</v>
      </c>
      <c r="JS8" s="27" t="s">
        <v>697</v>
      </c>
      <c r="JT8" s="27" t="s">
        <v>698</v>
      </c>
      <c r="JU8" s="27" t="s">
        <v>698</v>
      </c>
      <c r="JV8" s="27" t="s">
        <v>698</v>
      </c>
      <c r="JW8" s="27" t="s">
        <v>698</v>
      </c>
      <c r="JX8" s="27" t="s">
        <v>698</v>
      </c>
      <c r="JY8" s="27" t="s">
        <v>698</v>
      </c>
      <c r="JZ8" s="27" t="s">
        <v>698</v>
      </c>
      <c r="KA8" s="27" t="s">
        <v>698</v>
      </c>
      <c r="KB8" s="27" t="s">
        <v>698</v>
      </c>
      <c r="KC8" s="27" t="s">
        <v>698</v>
      </c>
      <c r="KD8" s="27" t="s">
        <v>698</v>
      </c>
      <c r="KE8" s="27" t="s">
        <v>698</v>
      </c>
      <c r="KF8" s="27" t="s">
        <v>697</v>
      </c>
      <c r="KG8" s="27" t="s">
        <v>698</v>
      </c>
      <c r="KH8" s="27" t="s">
        <v>698</v>
      </c>
      <c r="KI8" s="27" t="s">
        <v>698</v>
      </c>
      <c r="KJ8" s="27" t="s">
        <v>698</v>
      </c>
      <c r="KK8" s="27" t="s">
        <v>698</v>
      </c>
      <c r="KL8" s="27" t="s">
        <v>698</v>
      </c>
      <c r="KM8" s="27" t="s">
        <v>698</v>
      </c>
      <c r="KN8" s="27" t="s">
        <v>698</v>
      </c>
      <c r="KO8" s="27" t="s">
        <v>698</v>
      </c>
      <c r="KP8" s="27" t="s">
        <v>698</v>
      </c>
      <c r="KQ8" s="27" t="s">
        <v>698</v>
      </c>
      <c r="KR8" s="27" t="s">
        <v>698</v>
      </c>
      <c r="KS8" s="27" t="s">
        <v>697</v>
      </c>
      <c r="KT8" s="27" t="s">
        <v>698</v>
      </c>
      <c r="KU8" s="27" t="s">
        <v>698</v>
      </c>
      <c r="KV8" s="27" t="s">
        <v>698</v>
      </c>
      <c r="KW8" s="27" t="s">
        <v>698</v>
      </c>
      <c r="KX8" s="27" t="s">
        <v>698</v>
      </c>
      <c r="KY8" s="27" t="s">
        <v>698</v>
      </c>
      <c r="KZ8" s="27" t="s">
        <v>698</v>
      </c>
      <c r="LA8" s="27" t="s">
        <v>698</v>
      </c>
      <c r="LB8" s="27" t="s">
        <v>698</v>
      </c>
      <c r="LC8" s="27" t="s">
        <v>698</v>
      </c>
      <c r="LD8" s="27" t="s">
        <v>698</v>
      </c>
      <c r="LE8" s="27" t="s">
        <v>698</v>
      </c>
      <c r="LF8" s="27" t="s">
        <v>697</v>
      </c>
      <c r="LG8" s="27" t="s">
        <v>706</v>
      </c>
      <c r="LH8" s="27" t="s">
        <v>697</v>
      </c>
      <c r="LI8" s="27" t="s">
        <v>706</v>
      </c>
      <c r="LJ8" s="27" t="s">
        <v>697</v>
      </c>
      <c r="LK8" s="27">
        <v>2016</v>
      </c>
      <c r="LL8" s="27" t="s">
        <v>707</v>
      </c>
      <c r="LM8" s="27" t="s">
        <v>708</v>
      </c>
      <c r="LN8" s="27">
        <v>3012323</v>
      </c>
      <c r="LO8" s="27">
        <v>0</v>
      </c>
      <c r="LP8" s="27">
        <v>0</v>
      </c>
      <c r="LQ8" s="60" t="s">
        <v>698</v>
      </c>
      <c r="LR8" s="60" t="s">
        <v>698</v>
      </c>
      <c r="LS8" s="60" t="s">
        <v>698</v>
      </c>
      <c r="LT8" s="60" t="s">
        <v>698</v>
      </c>
      <c r="LU8" s="60" t="s">
        <v>698</v>
      </c>
      <c r="LV8" s="60" t="s">
        <v>698</v>
      </c>
      <c r="LW8" s="60" t="s">
        <v>698</v>
      </c>
      <c r="LX8" s="27" t="s">
        <v>709</v>
      </c>
      <c r="LY8" s="27" t="s">
        <v>697</v>
      </c>
      <c r="LZ8" s="27" t="s">
        <v>697</v>
      </c>
      <c r="MA8" s="27" t="s">
        <v>697</v>
      </c>
      <c r="MB8" s="27" t="s">
        <v>697</v>
      </c>
      <c r="MC8" s="27" t="s">
        <v>697</v>
      </c>
      <c r="MD8" s="27" t="s">
        <v>697</v>
      </c>
      <c r="ME8" s="27" t="s">
        <v>710</v>
      </c>
      <c r="MF8" s="27" t="s">
        <v>711</v>
      </c>
      <c r="MG8" s="27" t="s">
        <v>712</v>
      </c>
      <c r="MH8" s="27" t="s">
        <v>701</v>
      </c>
      <c r="MI8" s="27">
        <v>15</v>
      </c>
      <c r="MJ8" s="34">
        <v>47058</v>
      </c>
      <c r="MK8" s="27" t="s">
        <v>713</v>
      </c>
      <c r="ML8" s="27" t="s">
        <v>714</v>
      </c>
      <c r="MM8" s="27" t="s">
        <v>697</v>
      </c>
    </row>
    <row r="9" spans="1:351" ht="42.75" customHeight="1" x14ac:dyDescent="0.25">
      <c r="A9" s="27">
        <v>4101</v>
      </c>
      <c r="B9" s="27" t="s">
        <v>815</v>
      </c>
      <c r="C9" s="27" t="s">
        <v>814</v>
      </c>
      <c r="D9" s="55">
        <v>3731769</v>
      </c>
      <c r="E9" s="27" t="s">
        <v>700</v>
      </c>
      <c r="F9" s="15">
        <v>0</v>
      </c>
      <c r="G9" s="15">
        <v>0</v>
      </c>
      <c r="H9" s="15">
        <v>0</v>
      </c>
      <c r="I9" s="15" t="s">
        <v>697</v>
      </c>
      <c r="J9" s="15" t="s">
        <v>697</v>
      </c>
      <c r="K9" s="15" t="s">
        <v>697</v>
      </c>
      <c r="L9" s="15" t="s">
        <v>701</v>
      </c>
      <c r="M9" s="28" t="s">
        <v>816</v>
      </c>
      <c r="N9" s="15">
        <v>976</v>
      </c>
      <c r="O9" s="15">
        <v>99.8</v>
      </c>
      <c r="P9" s="15">
        <v>0</v>
      </c>
      <c r="Q9" s="15" t="s">
        <v>697</v>
      </c>
      <c r="R9" s="15">
        <v>976</v>
      </c>
      <c r="S9" s="40">
        <v>99.8</v>
      </c>
      <c r="T9" s="15" t="s">
        <v>697</v>
      </c>
      <c r="U9" s="15" t="s">
        <v>697</v>
      </c>
      <c r="V9" s="15" t="s">
        <v>697</v>
      </c>
      <c r="W9" s="15" t="s">
        <v>697</v>
      </c>
      <c r="X9" s="15" t="s">
        <v>697</v>
      </c>
      <c r="Y9" s="15" t="s">
        <v>697</v>
      </c>
      <c r="Z9" s="15" t="s">
        <v>697</v>
      </c>
      <c r="AA9" s="15" t="s">
        <v>697</v>
      </c>
      <c r="AB9" s="15" t="s">
        <v>697</v>
      </c>
      <c r="AC9" s="15" t="s">
        <v>697</v>
      </c>
      <c r="AD9" s="15" t="s">
        <v>697</v>
      </c>
      <c r="AE9" s="15" t="s">
        <v>697</v>
      </c>
      <c r="AF9" s="5">
        <v>47188946</v>
      </c>
      <c r="AG9" s="20" t="s">
        <v>697</v>
      </c>
      <c r="AH9" s="15" t="s">
        <v>697</v>
      </c>
      <c r="AI9" s="15" t="s">
        <v>697</v>
      </c>
      <c r="AJ9" s="15" t="s">
        <v>697</v>
      </c>
      <c r="AK9" s="15" t="s">
        <v>697</v>
      </c>
      <c r="AL9" s="15" t="s">
        <v>697</v>
      </c>
      <c r="AM9" s="15">
        <v>8.6999999999999993</v>
      </c>
      <c r="AN9" s="15" t="s">
        <v>697</v>
      </c>
      <c r="AO9" s="15" t="s">
        <v>697</v>
      </c>
      <c r="AP9" s="15" t="s">
        <v>697</v>
      </c>
      <c r="AQ9" s="15" t="s">
        <v>697</v>
      </c>
      <c r="AR9" s="15" t="s">
        <v>697</v>
      </c>
      <c r="AS9" s="15">
        <v>0</v>
      </c>
      <c r="AT9" s="15">
        <v>0</v>
      </c>
      <c r="AU9" s="15">
        <v>0</v>
      </c>
      <c r="AV9" s="15">
        <v>0</v>
      </c>
      <c r="AW9" s="15" t="s">
        <v>697</v>
      </c>
      <c r="AX9" s="15" t="s">
        <v>697</v>
      </c>
      <c r="AY9" s="15" t="s">
        <v>697</v>
      </c>
      <c r="AZ9" s="15" t="s">
        <v>697</v>
      </c>
      <c r="BA9" s="27" t="s">
        <v>698</v>
      </c>
      <c r="BB9" s="40" t="s">
        <v>697</v>
      </c>
      <c r="BC9" s="40" t="s">
        <v>697</v>
      </c>
      <c r="BD9" s="15" t="s">
        <v>701</v>
      </c>
      <c r="BE9" s="22" t="s">
        <v>697</v>
      </c>
      <c r="BF9" s="22" t="s">
        <v>697</v>
      </c>
      <c r="BG9" s="22" t="s">
        <v>697</v>
      </c>
      <c r="BH9" s="22" t="s">
        <v>697</v>
      </c>
      <c r="BI9" s="22" t="s">
        <v>697</v>
      </c>
      <c r="BJ9" s="22" t="s">
        <v>697</v>
      </c>
      <c r="BK9" s="22">
        <v>0.73599999999999999</v>
      </c>
      <c r="BL9" s="22" t="s">
        <v>697</v>
      </c>
      <c r="BM9" s="22" t="s">
        <v>697</v>
      </c>
      <c r="BN9" s="22" t="s">
        <v>697</v>
      </c>
      <c r="BO9" s="22" t="s">
        <v>697</v>
      </c>
      <c r="BP9" s="22" t="s">
        <v>697</v>
      </c>
      <c r="BQ9" s="22" t="s">
        <v>697</v>
      </c>
      <c r="BR9" s="22">
        <v>6.5000000000000002E-2</v>
      </c>
      <c r="BS9" s="15" t="s">
        <v>697</v>
      </c>
      <c r="BT9" s="15" t="s">
        <v>697</v>
      </c>
      <c r="BU9" s="15" t="s">
        <v>697</v>
      </c>
      <c r="BV9" s="15" t="s">
        <v>697</v>
      </c>
      <c r="BW9" s="15" t="s">
        <v>697</v>
      </c>
      <c r="BX9" s="15" t="s">
        <v>697</v>
      </c>
      <c r="BY9" s="15" t="s">
        <v>817</v>
      </c>
      <c r="BZ9" s="29">
        <v>4.5</v>
      </c>
      <c r="CA9" s="29">
        <v>4.25</v>
      </c>
      <c r="CB9" s="15" t="s">
        <v>818</v>
      </c>
      <c r="CC9" s="29">
        <v>4.5</v>
      </c>
      <c r="CD9" s="29">
        <v>4.25</v>
      </c>
      <c r="CE9" s="15" t="s">
        <v>819</v>
      </c>
      <c r="CF9" s="29">
        <v>4.5</v>
      </c>
      <c r="CG9" s="29">
        <v>4.25</v>
      </c>
      <c r="CH9" s="30">
        <v>43525</v>
      </c>
      <c r="CI9" s="29" t="s">
        <v>697</v>
      </c>
      <c r="CJ9" s="29" t="s">
        <v>697</v>
      </c>
      <c r="CK9" s="29" t="s">
        <v>697</v>
      </c>
      <c r="CL9" s="29" t="s">
        <v>697</v>
      </c>
      <c r="CM9" s="29" t="s">
        <v>697</v>
      </c>
      <c r="CN9" s="29" t="s">
        <v>697</v>
      </c>
      <c r="CO9" s="29" t="s">
        <v>697</v>
      </c>
      <c r="CP9" s="29" t="s">
        <v>697</v>
      </c>
      <c r="CQ9" s="29" t="s">
        <v>697</v>
      </c>
      <c r="CR9" s="29" t="s">
        <v>697</v>
      </c>
      <c r="CS9" s="29" t="s">
        <v>697</v>
      </c>
      <c r="CT9" s="29" t="s">
        <v>697</v>
      </c>
      <c r="CU9" s="29" t="s">
        <v>697</v>
      </c>
      <c r="CV9" s="29" t="s">
        <v>697</v>
      </c>
      <c r="CW9" s="29" t="s">
        <v>697</v>
      </c>
      <c r="CX9" s="29" t="s">
        <v>697</v>
      </c>
      <c r="CY9" s="29" t="s">
        <v>697</v>
      </c>
      <c r="CZ9" s="15" t="s">
        <v>697</v>
      </c>
      <c r="DA9" s="40" t="s">
        <v>698</v>
      </c>
      <c r="DB9" s="40" t="s">
        <v>698</v>
      </c>
      <c r="DC9" s="29">
        <v>208114238.5</v>
      </c>
      <c r="DD9" s="29">
        <v>10500000</v>
      </c>
      <c r="DE9" s="29">
        <v>0</v>
      </c>
      <c r="DF9" s="29">
        <v>0</v>
      </c>
      <c r="DG9" s="29" t="s">
        <v>697</v>
      </c>
      <c r="DH9" s="29" t="s">
        <v>697</v>
      </c>
      <c r="DI9" s="29" t="s">
        <v>697</v>
      </c>
      <c r="DJ9" s="29" t="s">
        <v>697</v>
      </c>
      <c r="DK9" s="29" t="s">
        <v>697</v>
      </c>
      <c r="DL9" s="29" t="s">
        <v>697</v>
      </c>
      <c r="DM9" s="29" t="s">
        <v>697</v>
      </c>
      <c r="DN9" s="29" t="s">
        <v>697</v>
      </c>
      <c r="DO9" s="29" t="s">
        <v>697</v>
      </c>
      <c r="DP9" s="29" t="s">
        <v>697</v>
      </c>
      <c r="DQ9" s="29" t="s">
        <v>697</v>
      </c>
      <c r="DR9" s="29" t="s">
        <v>697</v>
      </c>
      <c r="DS9" s="29" t="s">
        <v>697</v>
      </c>
      <c r="DT9" s="29" t="s">
        <v>697</v>
      </c>
      <c r="DU9" s="29" t="s">
        <v>697</v>
      </c>
      <c r="DV9" s="29" t="s">
        <v>697</v>
      </c>
      <c r="DW9" s="29" t="s">
        <v>697</v>
      </c>
      <c r="DX9" s="29" t="s">
        <v>697</v>
      </c>
      <c r="DY9" s="29" t="s">
        <v>697</v>
      </c>
      <c r="DZ9" s="29" t="s">
        <v>697</v>
      </c>
      <c r="EA9" s="29" t="s">
        <v>697</v>
      </c>
      <c r="EB9" s="29" t="s">
        <v>697</v>
      </c>
      <c r="EC9" s="29" t="s">
        <v>697</v>
      </c>
      <c r="ED9" s="15" t="s">
        <v>697</v>
      </c>
      <c r="EE9" s="15" t="s">
        <v>727</v>
      </c>
      <c r="EF9" s="15" t="s">
        <v>697</v>
      </c>
      <c r="EG9" s="22">
        <v>5.0000000000000001E-3</v>
      </c>
      <c r="EH9" s="15" t="s">
        <v>697</v>
      </c>
      <c r="EI9" s="15" t="s">
        <v>697</v>
      </c>
      <c r="EJ9" s="15" t="s">
        <v>697</v>
      </c>
      <c r="EK9" s="15" t="s">
        <v>697</v>
      </c>
      <c r="EL9" s="15" t="s">
        <v>697</v>
      </c>
      <c r="EM9" s="15" t="s">
        <v>697</v>
      </c>
      <c r="EN9" s="15" t="s">
        <v>697</v>
      </c>
      <c r="EO9" s="15" t="s">
        <v>697</v>
      </c>
      <c r="EP9" s="15" t="s">
        <v>697</v>
      </c>
      <c r="EQ9" s="15" t="s">
        <v>697</v>
      </c>
      <c r="ER9" s="15" t="s">
        <v>697</v>
      </c>
      <c r="ES9" s="15" t="s">
        <v>697</v>
      </c>
      <c r="ET9" s="15" t="s">
        <v>697</v>
      </c>
      <c r="EU9" s="15" t="s">
        <v>697</v>
      </c>
      <c r="EV9" s="15" t="s">
        <v>697</v>
      </c>
      <c r="EW9" s="15" t="s">
        <v>697</v>
      </c>
      <c r="EX9" s="15" t="s">
        <v>697</v>
      </c>
      <c r="EY9" s="15" t="s">
        <v>697</v>
      </c>
      <c r="EZ9" s="15" t="s">
        <v>697</v>
      </c>
      <c r="FA9" s="15" t="s">
        <v>697</v>
      </c>
      <c r="FB9" s="15" t="s">
        <v>697</v>
      </c>
      <c r="FC9" s="15" t="s">
        <v>697</v>
      </c>
      <c r="FD9" s="15" t="s">
        <v>697</v>
      </c>
      <c r="FE9" s="15" t="s">
        <v>697</v>
      </c>
      <c r="FF9" s="15" t="s">
        <v>697</v>
      </c>
      <c r="FG9" s="15" t="s">
        <v>697</v>
      </c>
      <c r="FH9" s="15" t="s">
        <v>697</v>
      </c>
      <c r="FI9" s="15" t="s">
        <v>697</v>
      </c>
      <c r="FJ9" s="15" t="s">
        <v>697</v>
      </c>
      <c r="FK9" s="15" t="s">
        <v>697</v>
      </c>
      <c r="FL9" s="15" t="s">
        <v>697</v>
      </c>
      <c r="FM9" s="15" t="s">
        <v>697</v>
      </c>
      <c r="FN9" s="15" t="s">
        <v>697</v>
      </c>
      <c r="FO9" s="15" t="s">
        <v>697</v>
      </c>
      <c r="FP9" s="15" t="s">
        <v>697</v>
      </c>
      <c r="FQ9" s="15" t="s">
        <v>697</v>
      </c>
      <c r="FR9" s="15" t="s">
        <v>697</v>
      </c>
      <c r="FS9" s="15" t="s">
        <v>697</v>
      </c>
      <c r="FT9" s="15" t="s">
        <v>697</v>
      </c>
      <c r="FU9" s="15" t="s">
        <v>697</v>
      </c>
      <c r="FV9" s="15" t="s">
        <v>697</v>
      </c>
      <c r="FW9" s="15" t="s">
        <v>697</v>
      </c>
      <c r="FX9" s="15" t="s">
        <v>697</v>
      </c>
      <c r="FY9" s="15" t="s">
        <v>697</v>
      </c>
      <c r="FZ9" s="15" t="s">
        <v>697</v>
      </c>
      <c r="GA9" s="15" t="s">
        <v>697</v>
      </c>
      <c r="GB9" s="20">
        <v>18968135</v>
      </c>
      <c r="GC9" s="20">
        <v>26375564</v>
      </c>
      <c r="GD9" s="20">
        <v>0</v>
      </c>
      <c r="GE9" s="20">
        <v>71688906</v>
      </c>
      <c r="GF9" s="20">
        <v>5141989</v>
      </c>
      <c r="GG9" s="20">
        <v>45343699</v>
      </c>
      <c r="GH9" s="20" t="s">
        <v>697</v>
      </c>
      <c r="GI9" s="20" t="s">
        <v>697</v>
      </c>
      <c r="GJ9" s="20" t="s">
        <v>697</v>
      </c>
      <c r="GK9" s="20" t="s">
        <v>697</v>
      </c>
      <c r="GL9" s="20" t="s">
        <v>697</v>
      </c>
      <c r="GM9" s="20" t="s">
        <v>697</v>
      </c>
      <c r="GN9" s="20" t="s">
        <v>697</v>
      </c>
      <c r="GO9" s="20" t="s">
        <v>697</v>
      </c>
      <c r="GP9" s="20" t="s">
        <v>697</v>
      </c>
      <c r="GQ9" s="20" t="s">
        <v>697</v>
      </c>
      <c r="GR9" s="20" t="s">
        <v>697</v>
      </c>
      <c r="GS9" s="20" t="s">
        <v>697</v>
      </c>
      <c r="GT9" s="20" t="s">
        <v>697</v>
      </c>
      <c r="GU9" s="20" t="s">
        <v>697</v>
      </c>
      <c r="GV9" s="20" t="s">
        <v>697</v>
      </c>
      <c r="GW9" s="20" t="s">
        <v>697</v>
      </c>
      <c r="GX9" s="20" t="s">
        <v>697</v>
      </c>
      <c r="GY9" s="20" t="s">
        <v>697</v>
      </c>
      <c r="GZ9" s="20" t="s">
        <v>697</v>
      </c>
      <c r="HA9" s="20" t="s">
        <v>697</v>
      </c>
      <c r="HB9" s="20" t="s">
        <v>697</v>
      </c>
      <c r="HC9" s="20" t="s">
        <v>697</v>
      </c>
      <c r="HD9" s="20" t="s">
        <v>697</v>
      </c>
      <c r="HE9" s="20" t="s">
        <v>697</v>
      </c>
      <c r="HF9" s="20" t="s">
        <v>697</v>
      </c>
      <c r="HG9" s="20" t="s">
        <v>697</v>
      </c>
      <c r="HH9" s="20" t="s">
        <v>697</v>
      </c>
      <c r="HI9" s="20" t="s">
        <v>697</v>
      </c>
      <c r="HJ9" s="20" t="s">
        <v>697</v>
      </c>
      <c r="HK9" s="20" t="s">
        <v>697</v>
      </c>
      <c r="HL9" s="20" t="s">
        <v>697</v>
      </c>
      <c r="HM9" s="20" t="s">
        <v>697</v>
      </c>
      <c r="HN9" s="20" t="s">
        <v>697</v>
      </c>
      <c r="HO9" s="20" t="s">
        <v>697</v>
      </c>
      <c r="HP9" s="20" t="s">
        <v>697</v>
      </c>
      <c r="HQ9" s="15" t="s">
        <v>697</v>
      </c>
      <c r="HR9" s="15" t="s">
        <v>811</v>
      </c>
      <c r="HS9" s="15" t="s">
        <v>697</v>
      </c>
      <c r="HT9" s="15" t="s">
        <v>697</v>
      </c>
      <c r="HU9" s="15" t="s">
        <v>697</v>
      </c>
      <c r="HV9" s="15" t="s">
        <v>697</v>
      </c>
      <c r="HW9" s="15" t="s">
        <v>697</v>
      </c>
      <c r="HX9" s="15" t="s">
        <v>697</v>
      </c>
      <c r="HY9" s="15" t="s">
        <v>701</v>
      </c>
      <c r="HZ9" s="27" t="s">
        <v>698</v>
      </c>
      <c r="IA9" s="27" t="s">
        <v>698</v>
      </c>
      <c r="IB9" s="27" t="s">
        <v>698</v>
      </c>
      <c r="IC9" s="27" t="s">
        <v>698</v>
      </c>
      <c r="ID9" s="27" t="s">
        <v>698</v>
      </c>
      <c r="IE9" s="27" t="s">
        <v>698</v>
      </c>
      <c r="IF9" s="27" t="s">
        <v>698</v>
      </c>
      <c r="IG9" s="27" t="s">
        <v>698</v>
      </c>
      <c r="IH9" s="27" t="s">
        <v>698</v>
      </c>
      <c r="II9" s="15" t="s">
        <v>697</v>
      </c>
      <c r="IJ9" s="15" t="s">
        <v>697</v>
      </c>
      <c r="IK9" s="15" t="s">
        <v>697</v>
      </c>
      <c r="IL9" s="15" t="s">
        <v>697</v>
      </c>
      <c r="IM9" s="15" t="s">
        <v>697</v>
      </c>
      <c r="IN9" s="15" t="s">
        <v>697</v>
      </c>
      <c r="IO9" s="15" t="s">
        <v>697</v>
      </c>
      <c r="IP9" s="15" t="s">
        <v>697</v>
      </c>
      <c r="IQ9" s="15" t="s">
        <v>697</v>
      </c>
      <c r="IR9" s="15" t="s">
        <v>697</v>
      </c>
      <c r="IS9" s="15" t="s">
        <v>697</v>
      </c>
      <c r="IT9" s="15" t="s">
        <v>697</v>
      </c>
      <c r="IU9" s="15" t="s">
        <v>697</v>
      </c>
      <c r="IV9" s="15" t="s">
        <v>697</v>
      </c>
      <c r="IW9" s="15" t="s">
        <v>697</v>
      </c>
      <c r="IX9" s="15" t="s">
        <v>697</v>
      </c>
      <c r="IY9" s="15" t="s">
        <v>697</v>
      </c>
      <c r="IZ9" s="15" t="s">
        <v>697</v>
      </c>
      <c r="JA9" s="15" t="s">
        <v>697</v>
      </c>
      <c r="JB9" s="15" t="s">
        <v>697</v>
      </c>
      <c r="JC9" s="15" t="s">
        <v>697</v>
      </c>
      <c r="JD9" s="15" t="s">
        <v>697</v>
      </c>
      <c r="JE9" s="15" t="s">
        <v>697</v>
      </c>
      <c r="JF9" s="15" t="s">
        <v>697</v>
      </c>
      <c r="JG9" s="15" t="s">
        <v>697</v>
      </c>
      <c r="JH9" s="15" t="s">
        <v>697</v>
      </c>
      <c r="JI9" s="15" t="s">
        <v>697</v>
      </c>
      <c r="JJ9" s="15" t="s">
        <v>697</v>
      </c>
      <c r="JK9" s="15" t="s">
        <v>697</v>
      </c>
      <c r="JL9" s="15" t="s">
        <v>697</v>
      </c>
      <c r="JM9" s="15" t="s">
        <v>697</v>
      </c>
      <c r="JN9" s="15" t="s">
        <v>697</v>
      </c>
      <c r="JO9" s="15" t="s">
        <v>697</v>
      </c>
      <c r="JP9" s="15" t="s">
        <v>697</v>
      </c>
      <c r="JQ9" s="15" t="s">
        <v>697</v>
      </c>
      <c r="JR9" s="15" t="s">
        <v>697</v>
      </c>
      <c r="JS9" s="15" t="s">
        <v>697</v>
      </c>
      <c r="JT9" s="15" t="s">
        <v>697</v>
      </c>
      <c r="JU9" s="15" t="s">
        <v>697</v>
      </c>
      <c r="JV9" s="15" t="s">
        <v>697</v>
      </c>
      <c r="JW9" s="15" t="s">
        <v>697</v>
      </c>
      <c r="JX9" s="15" t="s">
        <v>697</v>
      </c>
      <c r="JY9" s="15" t="s">
        <v>697</v>
      </c>
      <c r="JZ9" s="15" t="s">
        <v>697</v>
      </c>
      <c r="KA9" s="15" t="s">
        <v>697</v>
      </c>
      <c r="KB9" s="15" t="s">
        <v>697</v>
      </c>
      <c r="KC9" s="15" t="s">
        <v>697</v>
      </c>
      <c r="KD9" s="15" t="s">
        <v>697</v>
      </c>
      <c r="KE9" s="15" t="s">
        <v>697</v>
      </c>
      <c r="KF9" s="15" t="s">
        <v>697</v>
      </c>
      <c r="KG9" s="15" t="s">
        <v>697</v>
      </c>
      <c r="KH9" s="15" t="s">
        <v>697</v>
      </c>
      <c r="KI9" s="15" t="s">
        <v>697</v>
      </c>
      <c r="KJ9" s="15" t="s">
        <v>697</v>
      </c>
      <c r="KK9" s="15" t="s">
        <v>697</v>
      </c>
      <c r="KL9" s="15" t="s">
        <v>697</v>
      </c>
      <c r="KM9" s="15" t="s">
        <v>697</v>
      </c>
      <c r="KN9" s="15" t="s">
        <v>697</v>
      </c>
      <c r="KO9" s="15" t="s">
        <v>697</v>
      </c>
      <c r="KP9" s="15" t="s">
        <v>697</v>
      </c>
      <c r="KQ9" s="15" t="s">
        <v>697</v>
      </c>
      <c r="KR9" s="15" t="s">
        <v>697</v>
      </c>
      <c r="KS9" s="15" t="s">
        <v>697</v>
      </c>
      <c r="KT9" s="15" t="s">
        <v>697</v>
      </c>
      <c r="KU9" s="15" t="s">
        <v>697</v>
      </c>
      <c r="KV9" s="15" t="s">
        <v>697</v>
      </c>
      <c r="KW9" s="15" t="s">
        <v>697</v>
      </c>
      <c r="KX9" s="15" t="s">
        <v>697</v>
      </c>
      <c r="KY9" s="15" t="s">
        <v>697</v>
      </c>
      <c r="KZ9" s="15" t="s">
        <v>697</v>
      </c>
      <c r="LA9" s="15" t="s">
        <v>697</v>
      </c>
      <c r="LB9" s="15" t="s">
        <v>697</v>
      </c>
      <c r="LC9" s="15" t="s">
        <v>697</v>
      </c>
      <c r="LD9" s="15" t="s">
        <v>697</v>
      </c>
      <c r="LE9" s="15" t="s">
        <v>697</v>
      </c>
      <c r="LF9" s="15" t="s">
        <v>701</v>
      </c>
      <c r="LG9" s="15" t="s">
        <v>698</v>
      </c>
      <c r="LH9" s="15" t="s">
        <v>701</v>
      </c>
      <c r="LI9" s="15" t="s">
        <v>698</v>
      </c>
      <c r="LJ9" s="15" t="s">
        <v>701</v>
      </c>
      <c r="LK9" s="15">
        <v>2014</v>
      </c>
      <c r="LL9" s="15" t="s">
        <v>820</v>
      </c>
      <c r="LM9" s="28" t="s">
        <v>821</v>
      </c>
      <c r="LN9" s="31">
        <v>7744.5</v>
      </c>
      <c r="LO9" s="15">
        <v>24</v>
      </c>
      <c r="LP9" s="15">
        <v>30.5</v>
      </c>
      <c r="LQ9" s="60" t="s">
        <v>698</v>
      </c>
      <c r="LR9" s="60" t="s">
        <v>698</v>
      </c>
      <c r="LS9" s="60" t="s">
        <v>698</v>
      </c>
      <c r="LT9" s="60" t="s">
        <v>698</v>
      </c>
      <c r="LU9" s="60" t="s">
        <v>698</v>
      </c>
      <c r="LV9" s="60" t="s">
        <v>698</v>
      </c>
      <c r="LW9" s="60" t="s">
        <v>698</v>
      </c>
      <c r="LX9" s="15" t="s">
        <v>701</v>
      </c>
      <c r="LY9" s="40" t="s">
        <v>698</v>
      </c>
      <c r="LZ9" s="40" t="s">
        <v>698</v>
      </c>
      <c r="MA9" s="40" t="s">
        <v>698</v>
      </c>
      <c r="MB9" s="40" t="s">
        <v>698</v>
      </c>
      <c r="MC9" s="40" t="s">
        <v>698</v>
      </c>
      <c r="MD9" s="40" t="s">
        <v>698</v>
      </c>
      <c r="ME9" s="15" t="s">
        <v>710</v>
      </c>
      <c r="MF9" s="15" t="s">
        <v>822</v>
      </c>
      <c r="MG9" s="15" t="s">
        <v>697</v>
      </c>
      <c r="MH9" s="15" t="s">
        <v>697</v>
      </c>
      <c r="MI9" s="15" t="s">
        <v>697</v>
      </c>
      <c r="MJ9" s="15" t="s">
        <v>697</v>
      </c>
      <c r="MK9" s="15" t="s">
        <v>697</v>
      </c>
      <c r="ML9" s="26" t="s">
        <v>823</v>
      </c>
      <c r="MM9" s="15" t="s">
        <v>697</v>
      </c>
    </row>
    <row r="10" spans="1:351" ht="240" x14ac:dyDescent="0.25">
      <c r="A10" s="27">
        <v>3301</v>
      </c>
      <c r="B10" s="27" t="s">
        <v>838</v>
      </c>
      <c r="C10" s="27" t="s">
        <v>824</v>
      </c>
      <c r="D10" s="55">
        <v>13191031</v>
      </c>
      <c r="E10" s="2" t="s">
        <v>845</v>
      </c>
      <c r="F10" s="2">
        <v>35</v>
      </c>
      <c r="G10" s="2" t="s">
        <v>698</v>
      </c>
      <c r="H10" s="2" t="s">
        <v>698</v>
      </c>
      <c r="I10" s="2">
        <v>145</v>
      </c>
      <c r="J10" s="2">
        <v>56</v>
      </c>
      <c r="K10" s="2">
        <v>56</v>
      </c>
      <c r="L10" s="2" t="s">
        <v>701</v>
      </c>
      <c r="M10" s="39" t="s">
        <v>825</v>
      </c>
      <c r="N10" s="4">
        <v>4749</v>
      </c>
      <c r="O10" s="2">
        <v>41</v>
      </c>
      <c r="P10" s="2">
        <v>0</v>
      </c>
      <c r="Q10" s="2" t="s">
        <v>738</v>
      </c>
      <c r="R10" s="2">
        <v>3975</v>
      </c>
      <c r="S10" s="2">
        <v>42</v>
      </c>
      <c r="T10" s="2">
        <v>64</v>
      </c>
      <c r="U10" s="4">
        <v>1800</v>
      </c>
      <c r="V10" s="2">
        <v>201</v>
      </c>
      <c r="W10" s="4">
        <v>2400</v>
      </c>
      <c r="X10" s="2">
        <v>19</v>
      </c>
      <c r="Y10" s="4">
        <v>1600</v>
      </c>
      <c r="Z10" s="2" t="s">
        <v>697</v>
      </c>
      <c r="AA10" s="2" t="s">
        <v>697</v>
      </c>
      <c r="AB10" s="2" t="s">
        <v>697</v>
      </c>
      <c r="AC10" s="2" t="s">
        <v>697</v>
      </c>
      <c r="AD10" s="2" t="s">
        <v>697</v>
      </c>
      <c r="AE10" s="5" t="s">
        <v>697</v>
      </c>
      <c r="AF10" s="5">
        <v>316627845</v>
      </c>
      <c r="AG10" s="5">
        <v>5700000</v>
      </c>
      <c r="AH10" s="5">
        <v>58078044</v>
      </c>
      <c r="AI10" s="5">
        <v>172000</v>
      </c>
      <c r="AJ10" s="5" t="s">
        <v>697</v>
      </c>
      <c r="AK10" s="5" t="s">
        <v>697</v>
      </c>
      <c r="AL10" s="2" t="s">
        <v>697</v>
      </c>
      <c r="AM10" s="6">
        <v>7.3</v>
      </c>
      <c r="AN10" s="2">
        <v>23.7</v>
      </c>
      <c r="AO10" s="6">
        <v>16</v>
      </c>
      <c r="AP10" s="2" t="s">
        <v>697</v>
      </c>
      <c r="AQ10" s="2" t="s">
        <v>697</v>
      </c>
      <c r="AR10" s="2" t="s">
        <v>697</v>
      </c>
      <c r="AS10" s="2" t="s">
        <v>698</v>
      </c>
      <c r="AT10" s="2" t="s">
        <v>698</v>
      </c>
      <c r="AU10" s="2" t="s">
        <v>698</v>
      </c>
      <c r="AV10" s="2" t="s">
        <v>698</v>
      </c>
      <c r="AW10" s="2">
        <v>145</v>
      </c>
      <c r="AX10" s="2">
        <v>145</v>
      </c>
      <c r="AY10" s="2">
        <v>145</v>
      </c>
      <c r="AZ10" s="2">
        <v>101</v>
      </c>
      <c r="BA10" s="2" t="s">
        <v>701</v>
      </c>
      <c r="BB10" s="2">
        <v>2019</v>
      </c>
      <c r="BC10" s="2" t="s">
        <v>751</v>
      </c>
      <c r="BD10" s="2" t="s">
        <v>701</v>
      </c>
      <c r="BE10" s="7" t="s">
        <v>701</v>
      </c>
      <c r="BF10" s="7" t="s">
        <v>701</v>
      </c>
      <c r="BG10" s="2" t="s">
        <v>701</v>
      </c>
      <c r="BH10" s="2" t="s">
        <v>697</v>
      </c>
      <c r="BI10" s="2" t="s">
        <v>697</v>
      </c>
      <c r="BJ10" s="2" t="s">
        <v>701</v>
      </c>
      <c r="BK10" s="8">
        <v>0.97699999999999998</v>
      </c>
      <c r="BL10" s="8">
        <v>8.9999999999999993E-3</v>
      </c>
      <c r="BM10" s="8" t="s">
        <v>709</v>
      </c>
      <c r="BN10" s="2" t="s">
        <v>697</v>
      </c>
      <c r="BO10" s="2" t="s">
        <v>697</v>
      </c>
      <c r="BP10" s="8" t="s">
        <v>697</v>
      </c>
      <c r="BQ10" s="2" t="s">
        <v>697</v>
      </c>
      <c r="BR10" s="8" t="s">
        <v>697</v>
      </c>
      <c r="BS10" s="8" t="s">
        <v>697</v>
      </c>
      <c r="BT10" s="8" t="s">
        <v>697</v>
      </c>
      <c r="BU10" s="2" t="s">
        <v>697</v>
      </c>
      <c r="BV10" s="2" t="s">
        <v>697</v>
      </c>
      <c r="BW10" s="8" t="s">
        <v>697</v>
      </c>
      <c r="BX10" s="2" t="s">
        <v>697</v>
      </c>
      <c r="BY10" s="50" t="s">
        <v>854</v>
      </c>
      <c r="BZ10" s="9">
        <v>4.05</v>
      </c>
      <c r="CA10" s="9">
        <v>3.8</v>
      </c>
      <c r="CB10" s="2" t="s">
        <v>855</v>
      </c>
      <c r="CC10" s="9">
        <v>6.3</v>
      </c>
      <c r="CD10" s="9">
        <v>6</v>
      </c>
      <c r="CE10" s="50" t="s">
        <v>826</v>
      </c>
      <c r="CF10" s="9">
        <v>4.3</v>
      </c>
      <c r="CG10" s="9">
        <v>4.05</v>
      </c>
      <c r="CH10" s="51">
        <v>43872</v>
      </c>
      <c r="CI10" s="9">
        <v>5.8</v>
      </c>
      <c r="CJ10" s="9">
        <v>5</v>
      </c>
      <c r="CK10" s="32">
        <v>44317</v>
      </c>
      <c r="CL10" s="9">
        <v>5</v>
      </c>
      <c r="CM10" s="9">
        <v>4.7</v>
      </c>
      <c r="CN10" s="32">
        <v>44250</v>
      </c>
      <c r="CO10" s="9">
        <v>6.9</v>
      </c>
      <c r="CP10" s="9">
        <v>6.5</v>
      </c>
      <c r="CQ10" s="32">
        <v>44239</v>
      </c>
      <c r="CR10" s="2" t="s">
        <v>697</v>
      </c>
      <c r="CS10" s="2" t="s">
        <v>697</v>
      </c>
      <c r="CT10" s="2" t="s">
        <v>697</v>
      </c>
      <c r="CU10" s="2" t="s">
        <v>697</v>
      </c>
      <c r="CV10" s="2" t="s">
        <v>697</v>
      </c>
      <c r="CW10" s="2" t="s">
        <v>697</v>
      </c>
      <c r="CX10" s="2" t="s">
        <v>697</v>
      </c>
      <c r="CY10" s="2" t="s">
        <v>697</v>
      </c>
      <c r="CZ10" s="10" t="s">
        <v>697</v>
      </c>
      <c r="DA10" s="2" t="s">
        <v>701</v>
      </c>
      <c r="DB10" s="11" t="s">
        <v>827</v>
      </c>
      <c r="DC10" s="52">
        <v>1305824000</v>
      </c>
      <c r="DD10" s="52">
        <v>107000000</v>
      </c>
      <c r="DE10" s="52">
        <v>0</v>
      </c>
      <c r="DF10" s="52">
        <v>0</v>
      </c>
      <c r="DG10" s="9">
        <f>391244399.75+116285557.33</f>
        <v>507529957.07999998</v>
      </c>
      <c r="DH10" s="9">
        <v>0</v>
      </c>
      <c r="DI10" s="9">
        <v>0</v>
      </c>
      <c r="DJ10" s="9">
        <v>42360145.880000003</v>
      </c>
      <c r="DK10" s="9">
        <v>429925573.73000002</v>
      </c>
      <c r="DL10" s="9">
        <v>0</v>
      </c>
      <c r="DM10" s="9">
        <v>0</v>
      </c>
      <c r="DN10" s="9">
        <v>7370000</v>
      </c>
      <c r="DO10" s="9">
        <v>54309094.240000002</v>
      </c>
      <c r="DP10" s="9">
        <v>0</v>
      </c>
      <c r="DQ10" s="9">
        <v>0</v>
      </c>
      <c r="DR10" s="9">
        <v>1760386.76</v>
      </c>
      <c r="DS10" s="9" t="s">
        <v>697</v>
      </c>
      <c r="DT10" s="9" t="s">
        <v>697</v>
      </c>
      <c r="DU10" s="9" t="s">
        <v>697</v>
      </c>
      <c r="DV10" s="9" t="s">
        <v>697</v>
      </c>
      <c r="DW10" s="9" t="s">
        <v>697</v>
      </c>
      <c r="DX10" s="9" t="s">
        <v>697</v>
      </c>
      <c r="DY10" s="9" t="s">
        <v>697</v>
      </c>
      <c r="DZ10" s="9" t="s">
        <v>697</v>
      </c>
      <c r="EA10" s="9" t="s">
        <v>697</v>
      </c>
      <c r="EB10" s="9" t="s">
        <v>697</v>
      </c>
      <c r="EC10" s="9" t="s">
        <v>697</v>
      </c>
      <c r="ED10" s="2" t="s">
        <v>697</v>
      </c>
      <c r="EE10" s="2" t="s">
        <v>761</v>
      </c>
      <c r="EF10" s="2" t="s">
        <v>697</v>
      </c>
      <c r="EG10" s="8" t="s">
        <v>697</v>
      </c>
      <c r="EH10" s="8" t="s">
        <v>697</v>
      </c>
      <c r="EI10" s="8" t="s">
        <v>697</v>
      </c>
      <c r="EJ10" s="12" t="s">
        <v>856</v>
      </c>
      <c r="EK10" s="2" t="s">
        <v>857</v>
      </c>
      <c r="EL10" s="2" t="s">
        <v>828</v>
      </c>
      <c r="EM10" s="12">
        <v>0.02</v>
      </c>
      <c r="EN10" s="2" t="s">
        <v>697</v>
      </c>
      <c r="EO10" s="8" t="s">
        <v>858</v>
      </c>
      <c r="EP10" s="8" t="s">
        <v>859</v>
      </c>
      <c r="EQ10" s="7">
        <v>5.0000000000000001E-3</v>
      </c>
      <c r="ER10" s="2" t="s">
        <v>829</v>
      </c>
      <c r="ES10" s="2" t="s">
        <v>828</v>
      </c>
      <c r="ET10" s="2" t="s">
        <v>860</v>
      </c>
      <c r="EU10" s="2" t="s">
        <v>697</v>
      </c>
      <c r="EV10" s="8" t="s">
        <v>861</v>
      </c>
      <c r="EW10" s="8" t="s">
        <v>862</v>
      </c>
      <c r="EX10" s="2" t="s">
        <v>863</v>
      </c>
      <c r="EY10" s="2" t="s">
        <v>864</v>
      </c>
      <c r="EZ10" s="2" t="s">
        <v>828</v>
      </c>
      <c r="FA10" s="2" t="s">
        <v>865</v>
      </c>
      <c r="FB10" s="2" t="s">
        <v>697</v>
      </c>
      <c r="FC10" s="2" t="s">
        <v>866</v>
      </c>
      <c r="FD10" s="2" t="s">
        <v>867</v>
      </c>
      <c r="FE10" s="2" t="s">
        <v>868</v>
      </c>
      <c r="FF10" s="2" t="s">
        <v>830</v>
      </c>
      <c r="FG10" s="2" t="s">
        <v>697</v>
      </c>
      <c r="FH10" s="2" t="s">
        <v>697</v>
      </c>
      <c r="FI10" s="2" t="s">
        <v>697</v>
      </c>
      <c r="FJ10" s="2" t="s">
        <v>697</v>
      </c>
      <c r="FK10" s="2" t="s">
        <v>697</v>
      </c>
      <c r="FL10" s="2" t="s">
        <v>697</v>
      </c>
      <c r="FM10" s="2" t="s">
        <v>697</v>
      </c>
      <c r="FN10" s="2" t="s">
        <v>697</v>
      </c>
      <c r="FO10" s="2" t="s">
        <v>697</v>
      </c>
      <c r="FP10" s="2" t="s">
        <v>697</v>
      </c>
      <c r="FQ10" s="2" t="s">
        <v>697</v>
      </c>
      <c r="FR10" s="2" t="s">
        <v>697</v>
      </c>
      <c r="FS10" s="2" t="s">
        <v>697</v>
      </c>
      <c r="FT10" s="2" t="s">
        <v>697</v>
      </c>
      <c r="FU10" s="2" t="s">
        <v>697</v>
      </c>
      <c r="FV10" s="2" t="s">
        <v>697</v>
      </c>
      <c r="FW10" s="2" t="s">
        <v>697</v>
      </c>
      <c r="FX10" s="2" t="s">
        <v>697</v>
      </c>
      <c r="FY10" s="2" t="s">
        <v>697</v>
      </c>
      <c r="FZ10" s="2" t="s">
        <v>697</v>
      </c>
      <c r="GA10" s="2" t="s">
        <v>697</v>
      </c>
      <c r="GB10" s="5">
        <v>268884734</v>
      </c>
      <c r="GC10" s="5">
        <v>118219313</v>
      </c>
      <c r="GD10" s="5">
        <v>1473078</v>
      </c>
      <c r="GE10" s="5">
        <v>38498618</v>
      </c>
      <c r="GF10" s="5" t="s">
        <v>869</v>
      </c>
      <c r="GG10" s="5">
        <v>262794194</v>
      </c>
      <c r="GH10" s="5">
        <v>118685405</v>
      </c>
      <c r="GI10" s="5">
        <v>70967912</v>
      </c>
      <c r="GJ10" s="5">
        <v>75312</v>
      </c>
      <c r="GK10" s="5">
        <v>10020910</v>
      </c>
      <c r="GL10" s="5">
        <v>11833535</v>
      </c>
      <c r="GM10" s="5">
        <f>409962*253</f>
        <v>103720386</v>
      </c>
      <c r="GN10" s="5">
        <v>98029750</v>
      </c>
      <c r="GO10" s="5">
        <v>56922641</v>
      </c>
      <c r="GP10" s="5">
        <v>107725</v>
      </c>
      <c r="GQ10" s="5">
        <v>9304529</v>
      </c>
      <c r="GR10" s="5">
        <v>7251086</v>
      </c>
      <c r="GS10" s="5">
        <v>90778664</v>
      </c>
      <c r="GT10" s="5">
        <v>1726290</v>
      </c>
      <c r="GU10" s="5">
        <v>2274937</v>
      </c>
      <c r="GV10" s="5">
        <v>3887</v>
      </c>
      <c r="GW10" s="5">
        <v>3331576</v>
      </c>
      <c r="GX10" s="5">
        <v>778868</v>
      </c>
      <c r="GY10" s="5" t="s">
        <v>698</v>
      </c>
      <c r="GZ10" s="5" t="s">
        <v>697</v>
      </c>
      <c r="HA10" s="5" t="s">
        <v>697</v>
      </c>
      <c r="HB10" s="5" t="s">
        <v>697</v>
      </c>
      <c r="HC10" s="5" t="s">
        <v>697</v>
      </c>
      <c r="HD10" s="5" t="s">
        <v>697</v>
      </c>
      <c r="HE10" s="5" t="s">
        <v>697</v>
      </c>
      <c r="HF10" s="5" t="s">
        <v>697</v>
      </c>
      <c r="HG10" s="5" t="s">
        <v>697</v>
      </c>
      <c r="HH10" s="5" t="s">
        <v>697</v>
      </c>
      <c r="HI10" s="5" t="s">
        <v>697</v>
      </c>
      <c r="HJ10" s="5" t="s">
        <v>697</v>
      </c>
      <c r="HK10" s="5" t="s">
        <v>697</v>
      </c>
      <c r="HL10" s="5" t="s">
        <v>697</v>
      </c>
      <c r="HM10" s="5" t="s">
        <v>697</v>
      </c>
      <c r="HN10" s="5" t="s">
        <v>697</v>
      </c>
      <c r="HO10" s="5" t="s">
        <v>697</v>
      </c>
      <c r="HP10" s="5" t="s">
        <v>697</v>
      </c>
      <c r="HQ10" s="2" t="s">
        <v>697</v>
      </c>
      <c r="HR10" s="2" t="s">
        <v>831</v>
      </c>
      <c r="HS10" s="12" t="s">
        <v>697</v>
      </c>
      <c r="HT10" s="2" t="s">
        <v>697</v>
      </c>
      <c r="HU10" s="12" t="s">
        <v>697</v>
      </c>
      <c r="HV10" s="12">
        <v>1</v>
      </c>
      <c r="HW10" s="12">
        <v>1</v>
      </c>
      <c r="HX10" s="12" t="s">
        <v>697</v>
      </c>
      <c r="HY10" s="2" t="s">
        <v>701</v>
      </c>
      <c r="HZ10" s="53">
        <v>0.31240000000000001</v>
      </c>
      <c r="IA10" s="53">
        <v>6.4100000000000004E-2</v>
      </c>
      <c r="IB10" s="53">
        <v>0.2487</v>
      </c>
      <c r="IC10" s="53">
        <v>8.5999999999999993E-2</v>
      </c>
      <c r="ID10" s="53">
        <v>8.72E-2</v>
      </c>
      <c r="IE10" s="53">
        <v>7.0599999999999996E-2</v>
      </c>
      <c r="IF10" s="53">
        <v>0.04</v>
      </c>
      <c r="IG10" s="53">
        <v>5.3400000000000003E-2</v>
      </c>
      <c r="IH10" s="53">
        <v>5.7200000000000001E-2</v>
      </c>
      <c r="II10" s="2" t="s">
        <v>701</v>
      </c>
      <c r="IJ10" s="27" t="s">
        <v>698</v>
      </c>
      <c r="IK10" s="27" t="s">
        <v>698</v>
      </c>
      <c r="IL10" s="27" t="s">
        <v>698</v>
      </c>
      <c r="IM10" s="27" t="s">
        <v>698</v>
      </c>
      <c r="IN10" s="27" t="s">
        <v>698</v>
      </c>
      <c r="IO10" s="27" t="s">
        <v>698</v>
      </c>
      <c r="IP10" s="27" t="s">
        <v>698</v>
      </c>
      <c r="IQ10" s="27" t="s">
        <v>698</v>
      </c>
      <c r="IR10" s="27" t="s">
        <v>698</v>
      </c>
      <c r="IS10" s="27" t="s">
        <v>698</v>
      </c>
      <c r="IT10" s="27" t="s">
        <v>698</v>
      </c>
      <c r="IU10" s="27" t="s">
        <v>698</v>
      </c>
      <c r="IV10" s="2" t="s">
        <v>698</v>
      </c>
      <c r="IW10" s="8">
        <v>0.3861</v>
      </c>
      <c r="IX10" s="8">
        <v>0.3861</v>
      </c>
      <c r="IY10" s="8">
        <v>1.3599999999999999E-2</v>
      </c>
      <c r="IZ10" s="7">
        <v>0.14699999999999999</v>
      </c>
      <c r="JA10" s="2" t="s">
        <v>698</v>
      </c>
      <c r="JB10" s="8">
        <v>3.09E-2</v>
      </c>
      <c r="JC10" s="2" t="s">
        <v>698</v>
      </c>
      <c r="JD10" s="2" t="s">
        <v>698</v>
      </c>
      <c r="JE10" s="7">
        <v>0.20799999999999999</v>
      </c>
      <c r="JF10" s="2" t="s">
        <v>698</v>
      </c>
      <c r="JG10" s="2" t="s">
        <v>698</v>
      </c>
      <c r="JH10" s="7">
        <v>0.214</v>
      </c>
      <c r="JI10" s="2" t="s">
        <v>701</v>
      </c>
      <c r="JJ10" s="46" t="s">
        <v>698</v>
      </c>
      <c r="JK10" s="46" t="s">
        <v>698</v>
      </c>
      <c r="JL10" s="46" t="s">
        <v>698</v>
      </c>
      <c r="JM10" s="46" t="s">
        <v>698</v>
      </c>
      <c r="JN10" s="46" t="s">
        <v>698</v>
      </c>
      <c r="JO10" s="46" t="s">
        <v>698</v>
      </c>
      <c r="JP10" s="46" t="s">
        <v>698</v>
      </c>
      <c r="JQ10" s="46" t="s">
        <v>698</v>
      </c>
      <c r="JR10" s="46" t="s">
        <v>698</v>
      </c>
      <c r="JS10" s="2" t="s">
        <v>697</v>
      </c>
      <c r="JT10" s="2" t="s">
        <v>697</v>
      </c>
      <c r="JU10" s="2" t="s">
        <v>697</v>
      </c>
      <c r="JV10" s="2" t="s">
        <v>697</v>
      </c>
      <c r="JW10" s="2" t="s">
        <v>697</v>
      </c>
      <c r="JX10" s="2" t="s">
        <v>697</v>
      </c>
      <c r="JY10" s="2" t="s">
        <v>697</v>
      </c>
      <c r="JZ10" s="2" t="s">
        <v>697</v>
      </c>
      <c r="KA10" s="2" t="s">
        <v>697</v>
      </c>
      <c r="KB10" s="2" t="s">
        <v>697</v>
      </c>
      <c r="KC10" s="2" t="s">
        <v>697</v>
      </c>
      <c r="KD10" s="2" t="s">
        <v>697</v>
      </c>
      <c r="KE10" s="2" t="s">
        <v>697</v>
      </c>
      <c r="KF10" s="2" t="s">
        <v>697</v>
      </c>
      <c r="KG10" s="2" t="s">
        <v>697</v>
      </c>
      <c r="KH10" s="2" t="s">
        <v>697</v>
      </c>
      <c r="KI10" s="2" t="s">
        <v>697</v>
      </c>
      <c r="KJ10" s="2" t="s">
        <v>697</v>
      </c>
      <c r="KK10" s="2" t="s">
        <v>697</v>
      </c>
      <c r="KL10" s="2" t="s">
        <v>697</v>
      </c>
      <c r="KM10" s="2" t="s">
        <v>697</v>
      </c>
      <c r="KN10" s="2" t="s">
        <v>697</v>
      </c>
      <c r="KO10" s="2" t="s">
        <v>697</v>
      </c>
      <c r="KP10" s="2" t="s">
        <v>697</v>
      </c>
      <c r="KQ10" s="2" t="s">
        <v>697</v>
      </c>
      <c r="KR10" s="2" t="s">
        <v>697</v>
      </c>
      <c r="KS10" s="2" t="s">
        <v>697</v>
      </c>
      <c r="KT10" s="2" t="s">
        <v>697</v>
      </c>
      <c r="KU10" s="2" t="s">
        <v>697</v>
      </c>
      <c r="KV10" s="2" t="s">
        <v>697</v>
      </c>
      <c r="KW10" s="2" t="s">
        <v>697</v>
      </c>
      <c r="KX10" s="2" t="s">
        <v>697</v>
      </c>
      <c r="KY10" s="2" t="s">
        <v>697</v>
      </c>
      <c r="KZ10" s="2" t="s">
        <v>697</v>
      </c>
      <c r="LA10" s="2" t="s">
        <v>697</v>
      </c>
      <c r="LB10" s="2" t="s">
        <v>697</v>
      </c>
      <c r="LC10" s="2" t="s">
        <v>697</v>
      </c>
      <c r="LD10" s="2" t="s">
        <v>697</v>
      </c>
      <c r="LE10" s="2" t="s">
        <v>697</v>
      </c>
      <c r="LF10" s="2" t="s">
        <v>701</v>
      </c>
      <c r="LG10" s="3" t="s">
        <v>832</v>
      </c>
      <c r="LH10" s="2" t="s">
        <v>701</v>
      </c>
      <c r="LI10" s="3" t="s">
        <v>833</v>
      </c>
      <c r="LJ10" s="2" t="s">
        <v>701</v>
      </c>
      <c r="LK10" s="2">
        <v>2012</v>
      </c>
      <c r="LL10" s="2" t="s">
        <v>707</v>
      </c>
      <c r="LM10" s="3" t="s">
        <v>832</v>
      </c>
      <c r="LN10" s="4">
        <v>22000000</v>
      </c>
      <c r="LO10" s="2" t="s">
        <v>870</v>
      </c>
      <c r="LP10" s="2">
        <v>30.83</v>
      </c>
      <c r="LQ10" s="14">
        <v>0.28999999999999998</v>
      </c>
      <c r="LR10" s="14">
        <v>0.02</v>
      </c>
      <c r="LS10" s="14">
        <v>0.49</v>
      </c>
      <c r="LT10" s="14">
        <v>0.2</v>
      </c>
      <c r="LU10" s="14">
        <v>0</v>
      </c>
      <c r="LV10" s="14">
        <v>0</v>
      </c>
      <c r="LW10" s="14">
        <v>0</v>
      </c>
      <c r="LX10" s="16" t="s">
        <v>698</v>
      </c>
      <c r="LY10" s="16" t="s">
        <v>698</v>
      </c>
      <c r="LZ10" s="16" t="s">
        <v>698</v>
      </c>
      <c r="MA10" s="16" t="s">
        <v>698</v>
      </c>
      <c r="MB10" s="16" t="s">
        <v>698</v>
      </c>
      <c r="MC10" s="16" t="s">
        <v>871</v>
      </c>
      <c r="MD10" s="16" t="s">
        <v>698</v>
      </c>
      <c r="ME10" s="2" t="s">
        <v>834</v>
      </c>
      <c r="MF10" s="36" t="s">
        <v>711</v>
      </c>
      <c r="MG10" s="2" t="s">
        <v>846</v>
      </c>
      <c r="MH10" s="2" t="s">
        <v>847</v>
      </c>
      <c r="MI10" s="2" t="s">
        <v>835</v>
      </c>
      <c r="MJ10" s="17" t="s">
        <v>836</v>
      </c>
      <c r="MK10" s="2" t="s">
        <v>837</v>
      </c>
      <c r="ML10" s="17" t="s">
        <v>745</v>
      </c>
      <c r="MM10" s="2" t="s">
        <v>872</v>
      </c>
    </row>
    <row r="11" spans="1:351" ht="75" x14ac:dyDescent="0.25">
      <c r="A11" s="15">
        <v>3502</v>
      </c>
      <c r="B11" s="15" t="s">
        <v>802</v>
      </c>
      <c r="C11" s="27" t="s">
        <v>776</v>
      </c>
      <c r="D11" s="55">
        <v>1897551</v>
      </c>
      <c r="E11" s="2" t="s">
        <v>849</v>
      </c>
      <c r="F11" s="2">
        <v>0</v>
      </c>
      <c r="G11" s="2">
        <v>0</v>
      </c>
      <c r="H11" s="2">
        <v>0</v>
      </c>
      <c r="I11" s="2">
        <v>15</v>
      </c>
      <c r="J11" s="2">
        <v>15</v>
      </c>
      <c r="K11" s="2">
        <v>15</v>
      </c>
      <c r="L11" s="2" t="s">
        <v>701</v>
      </c>
      <c r="M11" s="39" t="s">
        <v>777</v>
      </c>
      <c r="N11" s="2">
        <v>490</v>
      </c>
      <c r="O11" s="2">
        <v>74</v>
      </c>
      <c r="P11" s="2">
        <v>0</v>
      </c>
      <c r="Q11" s="2" t="s">
        <v>697</v>
      </c>
      <c r="R11" s="2">
        <v>478</v>
      </c>
      <c r="S11" s="2">
        <v>76</v>
      </c>
      <c r="T11" s="2" t="s">
        <v>697</v>
      </c>
      <c r="U11" s="2" t="s">
        <v>697</v>
      </c>
      <c r="V11" s="2" t="s">
        <v>697</v>
      </c>
      <c r="W11" s="2" t="s">
        <v>697</v>
      </c>
      <c r="X11" s="2" t="s">
        <v>697</v>
      </c>
      <c r="Y11" s="2" t="s">
        <v>697</v>
      </c>
      <c r="Z11" s="2">
        <v>22</v>
      </c>
      <c r="AA11" s="2">
        <v>400</v>
      </c>
      <c r="AB11" s="2" t="s">
        <v>697</v>
      </c>
      <c r="AC11" s="2" t="s">
        <v>697</v>
      </c>
      <c r="AD11" s="2" t="s">
        <v>697</v>
      </c>
      <c r="AE11" s="2" t="s">
        <v>697</v>
      </c>
      <c r="AF11" s="5">
        <v>24186337</v>
      </c>
      <c r="AG11" s="5" t="s">
        <v>697</v>
      </c>
      <c r="AH11" s="5" t="s">
        <v>697</v>
      </c>
      <c r="AI11" s="5" t="s">
        <v>697</v>
      </c>
      <c r="AJ11" s="5">
        <v>678709</v>
      </c>
      <c r="AK11" s="5" t="s">
        <v>697</v>
      </c>
      <c r="AL11" s="2" t="s">
        <v>697</v>
      </c>
      <c r="AM11" s="6">
        <v>3.72</v>
      </c>
      <c r="AN11" s="2" t="s">
        <v>697</v>
      </c>
      <c r="AO11" s="2" t="s">
        <v>697</v>
      </c>
      <c r="AP11" s="6">
        <v>4.7300000000000004</v>
      </c>
      <c r="AQ11" s="2" t="s">
        <v>697</v>
      </c>
      <c r="AR11" s="2" t="s">
        <v>697</v>
      </c>
      <c r="AS11" s="2" t="s">
        <v>697</v>
      </c>
      <c r="AT11" s="2" t="s">
        <v>697</v>
      </c>
      <c r="AU11" s="2" t="s">
        <v>697</v>
      </c>
      <c r="AV11" s="2" t="s">
        <v>697</v>
      </c>
      <c r="AW11" s="2">
        <v>15</v>
      </c>
      <c r="AX11" s="2">
        <v>15</v>
      </c>
      <c r="AY11" s="2">
        <v>15</v>
      </c>
      <c r="AZ11" s="2">
        <v>15</v>
      </c>
      <c r="BA11" s="2" t="s">
        <v>701</v>
      </c>
      <c r="BB11" s="2">
        <v>2018</v>
      </c>
      <c r="BC11" s="2" t="s">
        <v>751</v>
      </c>
      <c r="BD11" s="2" t="s">
        <v>701</v>
      </c>
      <c r="BE11" s="2" t="s">
        <v>697</v>
      </c>
      <c r="BF11" s="2" t="s">
        <v>697</v>
      </c>
      <c r="BG11" s="2" t="s">
        <v>697</v>
      </c>
      <c r="BH11" s="2" t="s">
        <v>697</v>
      </c>
      <c r="BI11" s="2" t="s">
        <v>697</v>
      </c>
      <c r="BJ11" s="2" t="s">
        <v>697</v>
      </c>
      <c r="BK11" s="8">
        <v>0.77400000000000002</v>
      </c>
      <c r="BL11" s="2" t="s">
        <v>697</v>
      </c>
      <c r="BM11" s="2" t="s">
        <v>697</v>
      </c>
      <c r="BN11" s="2" t="s">
        <v>697</v>
      </c>
      <c r="BO11" s="8">
        <v>0.99980000000000002</v>
      </c>
      <c r="BP11" s="2" t="s">
        <v>697</v>
      </c>
      <c r="BQ11" s="2" t="s">
        <v>697</v>
      </c>
      <c r="BR11" s="8">
        <v>0.22599999999999998</v>
      </c>
      <c r="BS11" s="2" t="s">
        <v>697</v>
      </c>
      <c r="BT11" s="2" t="s">
        <v>697</v>
      </c>
      <c r="BU11" s="2" t="s">
        <v>697</v>
      </c>
      <c r="BV11" s="8">
        <v>1.9999999999997797E-4</v>
      </c>
      <c r="BW11" s="2" t="s">
        <v>697</v>
      </c>
      <c r="BX11" s="2" t="s">
        <v>697</v>
      </c>
      <c r="BY11" s="2" t="s">
        <v>778</v>
      </c>
      <c r="BZ11" s="9">
        <v>4.75</v>
      </c>
      <c r="CA11" s="9">
        <v>4.4000000000000004</v>
      </c>
      <c r="CB11" s="2" t="s">
        <v>778</v>
      </c>
      <c r="CC11" s="9">
        <v>4.9000000000000004</v>
      </c>
      <c r="CD11" s="9">
        <v>4.75</v>
      </c>
      <c r="CE11" s="2" t="s">
        <v>779</v>
      </c>
      <c r="CF11" s="9">
        <v>5.5</v>
      </c>
      <c r="CG11" s="9">
        <v>5.3</v>
      </c>
      <c r="CH11" s="10">
        <v>43856</v>
      </c>
      <c r="CI11" s="2" t="s">
        <v>697</v>
      </c>
      <c r="CJ11" s="2" t="s">
        <v>697</v>
      </c>
      <c r="CK11" s="2" t="s">
        <v>697</v>
      </c>
      <c r="CL11" s="2" t="s">
        <v>697</v>
      </c>
      <c r="CM11" s="2" t="s">
        <v>697</v>
      </c>
      <c r="CN11" s="2" t="s">
        <v>697</v>
      </c>
      <c r="CO11" s="2" t="s">
        <v>697</v>
      </c>
      <c r="CP11" s="2" t="s">
        <v>697</v>
      </c>
      <c r="CQ11" s="2" t="s">
        <v>697</v>
      </c>
      <c r="CR11" s="9">
        <v>4.75</v>
      </c>
      <c r="CS11" s="9">
        <v>4.4000000000000004</v>
      </c>
      <c r="CT11" s="10">
        <v>43856</v>
      </c>
      <c r="CU11" s="2" t="s">
        <v>697</v>
      </c>
      <c r="CV11" s="2" t="s">
        <v>697</v>
      </c>
      <c r="CW11" s="2" t="s">
        <v>697</v>
      </c>
      <c r="CX11" s="2" t="s">
        <v>697</v>
      </c>
      <c r="CY11" s="2" t="s">
        <v>697</v>
      </c>
      <c r="CZ11" s="2" t="s">
        <v>697</v>
      </c>
      <c r="DA11" s="2" t="s">
        <v>701</v>
      </c>
      <c r="DB11" s="11" t="s">
        <v>757</v>
      </c>
      <c r="DC11" s="9">
        <v>156966349.66999999</v>
      </c>
      <c r="DD11" s="9">
        <v>16053297.975</v>
      </c>
      <c r="DE11" s="9">
        <v>0</v>
      </c>
      <c r="DF11" s="9">
        <v>0</v>
      </c>
      <c r="DG11" s="2" t="s">
        <v>697</v>
      </c>
      <c r="DH11" s="2" t="s">
        <v>697</v>
      </c>
      <c r="DI11" s="2" t="s">
        <v>697</v>
      </c>
      <c r="DJ11" s="2" t="s">
        <v>697</v>
      </c>
      <c r="DK11" s="2" t="s">
        <v>697</v>
      </c>
      <c r="DL11" s="2" t="s">
        <v>697</v>
      </c>
      <c r="DM11" s="2" t="s">
        <v>697</v>
      </c>
      <c r="DN11" s="2" t="s">
        <v>697</v>
      </c>
      <c r="DO11" s="2" t="s">
        <v>697</v>
      </c>
      <c r="DP11" s="2" t="s">
        <v>697</v>
      </c>
      <c r="DQ11" s="2" t="s">
        <v>697</v>
      </c>
      <c r="DR11" s="2" t="s">
        <v>697</v>
      </c>
      <c r="DS11" s="9">
        <v>15066478.775</v>
      </c>
      <c r="DT11" s="9">
        <v>2020124.925</v>
      </c>
      <c r="DU11" s="9">
        <v>0</v>
      </c>
      <c r="DV11" s="9">
        <v>0</v>
      </c>
      <c r="DW11" s="2" t="s">
        <v>697</v>
      </c>
      <c r="DX11" s="2" t="s">
        <v>697</v>
      </c>
      <c r="DY11" s="2" t="s">
        <v>697</v>
      </c>
      <c r="DZ11" s="2" t="s">
        <v>697</v>
      </c>
      <c r="EA11" s="2" t="s">
        <v>697</v>
      </c>
      <c r="EB11" s="2" t="s">
        <v>697</v>
      </c>
      <c r="EC11" s="2" t="s">
        <v>697</v>
      </c>
      <c r="ED11" s="2" t="s">
        <v>697</v>
      </c>
      <c r="EE11" s="2" t="s">
        <v>759</v>
      </c>
      <c r="EF11" s="2" t="s">
        <v>697</v>
      </c>
      <c r="EG11" s="8">
        <v>3.8600000000000002E-2</v>
      </c>
      <c r="EH11" s="2" t="s">
        <v>697</v>
      </c>
      <c r="EI11" s="2" t="s">
        <v>697</v>
      </c>
      <c r="EJ11" s="12">
        <v>0.02</v>
      </c>
      <c r="EK11" s="2" t="s">
        <v>780</v>
      </c>
      <c r="EL11" s="2" t="s">
        <v>697</v>
      </c>
      <c r="EM11" s="2" t="s">
        <v>697</v>
      </c>
      <c r="EN11" s="2" t="s">
        <v>697</v>
      </c>
      <c r="EO11" s="2" t="s">
        <v>697</v>
      </c>
      <c r="EP11" s="2" t="s">
        <v>697</v>
      </c>
      <c r="EQ11" s="2" t="s">
        <v>697</v>
      </c>
      <c r="ER11" s="2" t="s">
        <v>697</v>
      </c>
      <c r="ES11" s="2" t="s">
        <v>697</v>
      </c>
      <c r="ET11" s="2" t="s">
        <v>697</v>
      </c>
      <c r="EU11" s="2" t="s">
        <v>697</v>
      </c>
      <c r="EV11" s="2" t="s">
        <v>697</v>
      </c>
      <c r="EW11" s="2" t="s">
        <v>697</v>
      </c>
      <c r="EX11" s="2" t="s">
        <v>697</v>
      </c>
      <c r="EY11" s="2" t="s">
        <v>697</v>
      </c>
      <c r="EZ11" s="2" t="s">
        <v>697</v>
      </c>
      <c r="FA11" s="2" t="s">
        <v>697</v>
      </c>
      <c r="FB11" s="2" t="s">
        <v>697</v>
      </c>
      <c r="FC11" s="2" t="s">
        <v>697</v>
      </c>
      <c r="FD11" s="2" t="s">
        <v>697</v>
      </c>
      <c r="FE11" s="2" t="s">
        <v>697</v>
      </c>
      <c r="FF11" s="2" t="s">
        <v>697</v>
      </c>
      <c r="FG11" s="12">
        <v>0.02</v>
      </c>
      <c r="FH11" s="12">
        <v>0</v>
      </c>
      <c r="FI11" s="8">
        <v>3.8600000000000002E-2</v>
      </c>
      <c r="FJ11" s="12">
        <v>0</v>
      </c>
      <c r="FK11" s="12">
        <v>0</v>
      </c>
      <c r="FL11" s="12">
        <v>0.02</v>
      </c>
      <c r="FM11" s="2" t="s">
        <v>780</v>
      </c>
      <c r="FN11" s="2" t="s">
        <v>697</v>
      </c>
      <c r="FO11" s="2" t="s">
        <v>697</v>
      </c>
      <c r="FP11" s="2" t="s">
        <v>697</v>
      </c>
      <c r="FQ11" s="2" t="s">
        <v>697</v>
      </c>
      <c r="FR11" s="2" t="s">
        <v>697</v>
      </c>
      <c r="FS11" s="2" t="s">
        <v>697</v>
      </c>
      <c r="FT11" s="2" t="s">
        <v>697</v>
      </c>
      <c r="FU11" s="2" t="s">
        <v>697</v>
      </c>
      <c r="FV11" s="2" t="s">
        <v>697</v>
      </c>
      <c r="FW11" s="2" t="s">
        <v>697</v>
      </c>
      <c r="FX11" s="2" t="s">
        <v>697</v>
      </c>
      <c r="FY11" s="2" t="s">
        <v>697</v>
      </c>
      <c r="FZ11" s="2" t="s">
        <v>697</v>
      </c>
      <c r="GA11" s="2" t="s">
        <v>697</v>
      </c>
      <c r="GB11" s="5">
        <v>36642138</v>
      </c>
      <c r="GC11" s="5">
        <v>14387615</v>
      </c>
      <c r="GD11" s="5">
        <v>385072</v>
      </c>
      <c r="GE11" s="5">
        <v>1343892</v>
      </c>
      <c r="GF11" s="5">
        <v>10119338</v>
      </c>
      <c r="GG11" s="5">
        <v>29627809</v>
      </c>
      <c r="GH11" s="13" t="s">
        <v>697</v>
      </c>
      <c r="GI11" s="13" t="s">
        <v>697</v>
      </c>
      <c r="GJ11" s="13" t="s">
        <v>697</v>
      </c>
      <c r="GK11" s="13" t="s">
        <v>697</v>
      </c>
      <c r="GL11" s="13" t="s">
        <v>697</v>
      </c>
      <c r="GM11" s="13" t="s">
        <v>697</v>
      </c>
      <c r="GN11" s="13" t="s">
        <v>697</v>
      </c>
      <c r="GO11" s="13" t="s">
        <v>697</v>
      </c>
      <c r="GP11" s="13" t="s">
        <v>697</v>
      </c>
      <c r="GQ11" s="13" t="s">
        <v>697</v>
      </c>
      <c r="GR11" s="13" t="s">
        <v>697</v>
      </c>
      <c r="GS11" s="13" t="s">
        <v>697</v>
      </c>
      <c r="GT11" s="13" t="s">
        <v>697</v>
      </c>
      <c r="GU11" s="13" t="s">
        <v>697</v>
      </c>
      <c r="GV11" s="13" t="s">
        <v>697</v>
      </c>
      <c r="GW11" s="13" t="s">
        <v>697</v>
      </c>
      <c r="GX11" s="13" t="s">
        <v>697</v>
      </c>
      <c r="GY11" s="13" t="s">
        <v>697</v>
      </c>
      <c r="GZ11" s="5">
        <v>5247914</v>
      </c>
      <c r="HA11" s="5">
        <v>1999399</v>
      </c>
      <c r="HB11" s="5">
        <v>61403</v>
      </c>
      <c r="HC11" s="5">
        <v>689973</v>
      </c>
      <c r="HD11" s="5">
        <v>1387919</v>
      </c>
      <c r="HE11" s="5">
        <v>4324807</v>
      </c>
      <c r="HF11" s="2" t="s">
        <v>697</v>
      </c>
      <c r="HG11" s="2" t="s">
        <v>697</v>
      </c>
      <c r="HH11" s="2" t="s">
        <v>697</v>
      </c>
      <c r="HI11" s="2" t="s">
        <v>697</v>
      </c>
      <c r="HJ11" s="2" t="s">
        <v>697</v>
      </c>
      <c r="HK11" s="2" t="s">
        <v>697</v>
      </c>
      <c r="HL11" s="2" t="s">
        <v>697</v>
      </c>
      <c r="HM11" s="2" t="s">
        <v>697</v>
      </c>
      <c r="HN11" s="2" t="s">
        <v>697</v>
      </c>
      <c r="HO11" s="2" t="s">
        <v>697</v>
      </c>
      <c r="HP11" s="2" t="s">
        <v>697</v>
      </c>
      <c r="HQ11" s="2" t="s">
        <v>697</v>
      </c>
      <c r="HR11" s="2" t="s">
        <v>764</v>
      </c>
      <c r="HS11" s="12">
        <v>1</v>
      </c>
      <c r="HT11" s="2" t="s">
        <v>765</v>
      </c>
      <c r="HU11" s="12">
        <v>1</v>
      </c>
      <c r="HV11" s="12">
        <v>1</v>
      </c>
      <c r="HW11" s="12">
        <v>0.5</v>
      </c>
      <c r="HX11" s="12">
        <v>0.5</v>
      </c>
      <c r="HY11" s="2" t="s">
        <v>709</v>
      </c>
      <c r="HZ11" s="2" t="s">
        <v>697</v>
      </c>
      <c r="IA11" s="2" t="s">
        <v>697</v>
      </c>
      <c r="IB11" s="2" t="s">
        <v>697</v>
      </c>
      <c r="IC11" s="2" t="s">
        <v>697</v>
      </c>
      <c r="ID11" s="2" t="s">
        <v>697</v>
      </c>
      <c r="IE11" s="2" t="s">
        <v>697</v>
      </c>
      <c r="IF11" s="2" t="s">
        <v>697</v>
      </c>
      <c r="IG11" s="2" t="s">
        <v>697</v>
      </c>
      <c r="IH11" s="2" t="s">
        <v>697</v>
      </c>
      <c r="II11" s="2" t="s">
        <v>697</v>
      </c>
      <c r="IJ11" s="2" t="s">
        <v>697</v>
      </c>
      <c r="IK11" s="2" t="s">
        <v>697</v>
      </c>
      <c r="IL11" s="2" t="s">
        <v>697</v>
      </c>
      <c r="IM11" s="2" t="s">
        <v>697</v>
      </c>
      <c r="IN11" s="2" t="s">
        <v>697</v>
      </c>
      <c r="IO11" s="2" t="s">
        <v>697</v>
      </c>
      <c r="IP11" s="2" t="s">
        <v>697</v>
      </c>
      <c r="IQ11" s="2" t="s">
        <v>697</v>
      </c>
      <c r="IR11" s="2" t="s">
        <v>697</v>
      </c>
      <c r="IS11" s="2" t="s">
        <v>697</v>
      </c>
      <c r="IT11" s="2" t="s">
        <v>697</v>
      </c>
      <c r="IU11" s="2" t="s">
        <v>697</v>
      </c>
      <c r="IV11" s="2" t="s">
        <v>697</v>
      </c>
      <c r="IW11" s="2" t="s">
        <v>697</v>
      </c>
      <c r="IX11" s="2" t="s">
        <v>697</v>
      </c>
      <c r="IY11" s="2" t="s">
        <v>697</v>
      </c>
      <c r="IZ11" s="2" t="s">
        <v>697</v>
      </c>
      <c r="JA11" s="2" t="s">
        <v>697</v>
      </c>
      <c r="JB11" s="2" t="s">
        <v>697</v>
      </c>
      <c r="JC11" s="2" t="s">
        <v>697</v>
      </c>
      <c r="JD11" s="2" t="s">
        <v>697</v>
      </c>
      <c r="JE11" s="2" t="s">
        <v>697</v>
      </c>
      <c r="JF11" s="2" t="s">
        <v>697</v>
      </c>
      <c r="JG11" s="2" t="s">
        <v>697</v>
      </c>
      <c r="JH11" s="2" t="s">
        <v>697</v>
      </c>
      <c r="JI11" s="2" t="s">
        <v>697</v>
      </c>
      <c r="JJ11" s="2" t="s">
        <v>697</v>
      </c>
      <c r="JK11" s="2" t="s">
        <v>697</v>
      </c>
      <c r="JL11" s="2" t="s">
        <v>697</v>
      </c>
      <c r="JM11" s="2" t="s">
        <v>697</v>
      </c>
      <c r="JN11" s="2" t="s">
        <v>697</v>
      </c>
      <c r="JO11" s="2" t="s">
        <v>697</v>
      </c>
      <c r="JP11" s="2" t="s">
        <v>697</v>
      </c>
      <c r="JQ11" s="2" t="s">
        <v>697</v>
      </c>
      <c r="JR11" s="2" t="s">
        <v>697</v>
      </c>
      <c r="JS11" s="2" t="s">
        <v>709</v>
      </c>
      <c r="JT11" s="2" t="s">
        <v>697</v>
      </c>
      <c r="JU11" s="2" t="s">
        <v>697</v>
      </c>
      <c r="JV11" s="2" t="s">
        <v>697</v>
      </c>
      <c r="JW11" s="2" t="s">
        <v>697</v>
      </c>
      <c r="JX11" s="2" t="s">
        <v>697</v>
      </c>
      <c r="JY11" s="2" t="s">
        <v>697</v>
      </c>
      <c r="JZ11" s="2" t="s">
        <v>697</v>
      </c>
      <c r="KA11" s="2" t="s">
        <v>697</v>
      </c>
      <c r="KB11" s="2" t="s">
        <v>697</v>
      </c>
      <c r="KC11" s="2" t="s">
        <v>697</v>
      </c>
      <c r="KD11" s="2" t="s">
        <v>697</v>
      </c>
      <c r="KE11" s="2" t="s">
        <v>697</v>
      </c>
      <c r="KF11" s="2" t="s">
        <v>697</v>
      </c>
      <c r="KG11" s="2" t="s">
        <v>697</v>
      </c>
      <c r="KH11" s="2" t="s">
        <v>697</v>
      </c>
      <c r="KI11" s="2" t="s">
        <v>697</v>
      </c>
      <c r="KJ11" s="2" t="s">
        <v>697</v>
      </c>
      <c r="KK11" s="2" t="s">
        <v>697</v>
      </c>
      <c r="KL11" s="2" t="s">
        <v>697</v>
      </c>
      <c r="KM11" s="2" t="s">
        <v>697</v>
      </c>
      <c r="KN11" s="2" t="s">
        <v>697</v>
      </c>
      <c r="KO11" s="2" t="s">
        <v>697</v>
      </c>
      <c r="KP11" s="2" t="s">
        <v>697</v>
      </c>
      <c r="KQ11" s="2" t="s">
        <v>697</v>
      </c>
      <c r="KR11" s="2" t="s">
        <v>697</v>
      </c>
      <c r="KS11" s="2" t="s">
        <v>697</v>
      </c>
      <c r="KT11" s="2" t="s">
        <v>697</v>
      </c>
      <c r="KU11" s="2" t="s">
        <v>697</v>
      </c>
      <c r="KV11" s="2" t="s">
        <v>697</v>
      </c>
      <c r="KW11" s="2" t="s">
        <v>697</v>
      </c>
      <c r="KX11" s="2" t="s">
        <v>697</v>
      </c>
      <c r="KY11" s="2" t="s">
        <v>697</v>
      </c>
      <c r="KZ11" s="2" t="s">
        <v>697</v>
      </c>
      <c r="LA11" s="2" t="s">
        <v>697</v>
      </c>
      <c r="LB11" s="2" t="s">
        <v>697</v>
      </c>
      <c r="LC11" s="2" t="s">
        <v>697</v>
      </c>
      <c r="LD11" s="2" t="s">
        <v>697</v>
      </c>
      <c r="LE11" s="2" t="s">
        <v>697</v>
      </c>
      <c r="LF11" s="2" t="s">
        <v>709</v>
      </c>
      <c r="LG11" s="2" t="s">
        <v>697</v>
      </c>
      <c r="LH11" s="2" t="s">
        <v>709</v>
      </c>
      <c r="LI11" s="2" t="s">
        <v>697</v>
      </c>
      <c r="LJ11" s="2" t="s">
        <v>701</v>
      </c>
      <c r="LK11" s="2">
        <v>2012</v>
      </c>
      <c r="LL11" s="2">
        <v>13</v>
      </c>
      <c r="LM11" s="2" t="s">
        <v>698</v>
      </c>
      <c r="LN11" s="4">
        <v>2173208</v>
      </c>
      <c r="LO11" s="2">
        <v>5.8</v>
      </c>
      <c r="LP11" s="2">
        <v>33.799999999999997</v>
      </c>
      <c r="LQ11" s="49">
        <v>0.26100000000000001</v>
      </c>
      <c r="LR11" s="49">
        <v>0.115</v>
      </c>
      <c r="LS11" s="49">
        <v>0.36499999999999999</v>
      </c>
      <c r="LT11" s="49">
        <v>0.193</v>
      </c>
      <c r="LU11" s="49">
        <v>5.5E-2</v>
      </c>
      <c r="LV11" s="49">
        <v>3.0000000000000001E-3</v>
      </c>
      <c r="LW11" s="49">
        <v>8.0000000000000002E-3</v>
      </c>
      <c r="LX11" s="15" t="s">
        <v>701</v>
      </c>
      <c r="LY11" s="16">
        <v>4.4444444444444446E-2</v>
      </c>
      <c r="LZ11" s="16">
        <v>4.4444444444444446E-2</v>
      </c>
      <c r="MA11" s="16">
        <v>0</v>
      </c>
      <c r="MB11" s="16">
        <v>0</v>
      </c>
      <c r="MC11" s="16">
        <v>0</v>
      </c>
      <c r="MD11" s="16">
        <v>0</v>
      </c>
      <c r="ME11" s="2" t="s">
        <v>769</v>
      </c>
      <c r="MF11" s="2" t="s">
        <v>711</v>
      </c>
      <c r="MG11" s="17" t="s">
        <v>721</v>
      </c>
      <c r="MH11" s="2" t="s">
        <v>701</v>
      </c>
      <c r="MI11" s="2">
        <v>20</v>
      </c>
      <c r="MJ11" s="18">
        <v>49461</v>
      </c>
      <c r="MK11" s="2" t="s">
        <v>781</v>
      </c>
      <c r="ML11" s="17" t="s">
        <v>774</v>
      </c>
      <c r="MM11" s="2" t="s">
        <v>782</v>
      </c>
    </row>
    <row r="12" spans="1:351" ht="33.75" customHeight="1" x14ac:dyDescent="0.25">
      <c r="A12" s="15">
        <v>3503</v>
      </c>
      <c r="B12" s="15" t="s">
        <v>802</v>
      </c>
      <c r="C12" s="27" t="s">
        <v>783</v>
      </c>
      <c r="D12" s="55">
        <v>3342707</v>
      </c>
      <c r="E12" s="27" t="s">
        <v>700</v>
      </c>
      <c r="F12" s="2">
        <v>5</v>
      </c>
      <c r="G12" s="2">
        <v>5</v>
      </c>
      <c r="H12" s="2">
        <v>5</v>
      </c>
      <c r="I12" s="2" t="s">
        <v>697</v>
      </c>
      <c r="J12" s="2" t="s">
        <v>697</v>
      </c>
      <c r="K12" s="2" t="s">
        <v>697</v>
      </c>
      <c r="L12" s="2" t="s">
        <v>701</v>
      </c>
      <c r="M12" s="39" t="s">
        <v>777</v>
      </c>
      <c r="N12" s="2">
        <v>360</v>
      </c>
      <c r="O12" s="2">
        <v>78</v>
      </c>
      <c r="P12" s="2">
        <v>0</v>
      </c>
      <c r="Q12" s="2" t="s">
        <v>697</v>
      </c>
      <c r="R12" s="2">
        <v>321</v>
      </c>
      <c r="S12" s="2">
        <v>78</v>
      </c>
      <c r="T12" s="2" t="s">
        <v>697</v>
      </c>
      <c r="U12" s="2" t="s">
        <v>697</v>
      </c>
      <c r="V12" s="2" t="s">
        <v>697</v>
      </c>
      <c r="W12" s="2" t="s">
        <v>697</v>
      </c>
      <c r="X12" s="2" t="s">
        <v>697</v>
      </c>
      <c r="Y12" s="2" t="s">
        <v>697</v>
      </c>
      <c r="Z12" s="2" t="s">
        <v>697</v>
      </c>
      <c r="AA12" s="2" t="s">
        <v>697</v>
      </c>
      <c r="AB12" s="2" t="s">
        <v>697</v>
      </c>
      <c r="AC12" s="2" t="s">
        <v>697</v>
      </c>
      <c r="AD12" s="2" t="s">
        <v>697</v>
      </c>
      <c r="AE12" s="2" t="s">
        <v>697</v>
      </c>
      <c r="AF12" s="5">
        <v>35084328</v>
      </c>
      <c r="AG12" s="5" t="s">
        <v>697</v>
      </c>
      <c r="AH12" s="5" t="s">
        <v>697</v>
      </c>
      <c r="AI12" s="5" t="s">
        <v>697</v>
      </c>
      <c r="AJ12" s="5" t="s">
        <v>697</v>
      </c>
      <c r="AK12" s="5" t="s">
        <v>697</v>
      </c>
      <c r="AL12" s="2" t="s">
        <v>697</v>
      </c>
      <c r="AM12" s="6">
        <v>4.93</v>
      </c>
      <c r="AN12" s="2" t="s">
        <v>697</v>
      </c>
      <c r="AO12" s="2" t="s">
        <v>697</v>
      </c>
      <c r="AP12" s="2" t="s">
        <v>697</v>
      </c>
      <c r="AQ12" s="2" t="s">
        <v>697</v>
      </c>
      <c r="AR12" s="2" t="s">
        <v>697</v>
      </c>
      <c r="AS12" s="2">
        <v>5</v>
      </c>
      <c r="AT12" s="2">
        <v>5</v>
      </c>
      <c r="AU12" s="2">
        <v>5</v>
      </c>
      <c r="AV12" s="2">
        <v>5</v>
      </c>
      <c r="AW12" s="2" t="s">
        <v>697</v>
      </c>
      <c r="AX12" s="2" t="s">
        <v>697</v>
      </c>
      <c r="AY12" s="2" t="s">
        <v>697</v>
      </c>
      <c r="AZ12" s="2" t="s">
        <v>697</v>
      </c>
      <c r="BA12" s="2" t="s">
        <v>701</v>
      </c>
      <c r="BB12" s="2">
        <v>2018</v>
      </c>
      <c r="BC12" s="2" t="s">
        <v>751</v>
      </c>
      <c r="BD12" s="2" t="s">
        <v>701</v>
      </c>
      <c r="BE12" s="2" t="s">
        <v>697</v>
      </c>
      <c r="BF12" s="2" t="s">
        <v>697</v>
      </c>
      <c r="BG12" s="2" t="s">
        <v>697</v>
      </c>
      <c r="BH12" s="2" t="s">
        <v>697</v>
      </c>
      <c r="BI12" s="2" t="s">
        <v>697</v>
      </c>
      <c r="BJ12" s="2" t="s">
        <v>697</v>
      </c>
      <c r="BK12" s="8">
        <v>0.61180000000000001</v>
      </c>
      <c r="BL12" s="2" t="s">
        <v>697</v>
      </c>
      <c r="BM12" s="2" t="s">
        <v>697</v>
      </c>
      <c r="BN12" s="2" t="s">
        <v>697</v>
      </c>
      <c r="BO12" s="2" t="s">
        <v>697</v>
      </c>
      <c r="BP12" s="2" t="s">
        <v>697</v>
      </c>
      <c r="BQ12" s="2" t="s">
        <v>697</v>
      </c>
      <c r="BR12" s="8">
        <v>0.38819999999999999</v>
      </c>
      <c r="BS12" s="2" t="s">
        <v>697</v>
      </c>
      <c r="BT12" s="2" t="s">
        <v>697</v>
      </c>
      <c r="BU12" s="2" t="s">
        <v>697</v>
      </c>
      <c r="BV12" s="2" t="s">
        <v>697</v>
      </c>
      <c r="BW12" s="2" t="s">
        <v>697</v>
      </c>
      <c r="BX12" s="2" t="s">
        <v>697</v>
      </c>
      <c r="BY12" s="2" t="s">
        <v>784</v>
      </c>
      <c r="BZ12" s="9">
        <v>5.25</v>
      </c>
      <c r="CA12" s="9">
        <v>4.9000000000000004</v>
      </c>
      <c r="CB12" s="2" t="s">
        <v>785</v>
      </c>
      <c r="CC12" s="9">
        <v>5.25</v>
      </c>
      <c r="CD12" s="9">
        <v>4.9000000000000004</v>
      </c>
      <c r="CE12" s="2" t="s">
        <v>786</v>
      </c>
      <c r="CF12" s="9">
        <v>5.4</v>
      </c>
      <c r="CG12" s="9">
        <v>5.05</v>
      </c>
      <c r="CH12" s="10">
        <v>43856</v>
      </c>
      <c r="CI12" s="2" t="s">
        <v>697</v>
      </c>
      <c r="CJ12" s="2" t="s">
        <v>697</v>
      </c>
      <c r="CK12" s="2" t="s">
        <v>697</v>
      </c>
      <c r="CL12" s="2" t="s">
        <v>697</v>
      </c>
      <c r="CM12" s="2" t="s">
        <v>697</v>
      </c>
      <c r="CN12" s="2" t="s">
        <v>697</v>
      </c>
      <c r="CO12" s="2" t="s">
        <v>697</v>
      </c>
      <c r="CP12" s="2" t="s">
        <v>697</v>
      </c>
      <c r="CQ12" s="2" t="s">
        <v>697</v>
      </c>
      <c r="CR12" s="2" t="s">
        <v>697</v>
      </c>
      <c r="CS12" s="2" t="s">
        <v>697</v>
      </c>
      <c r="CT12" s="2" t="s">
        <v>697</v>
      </c>
      <c r="CU12" s="2" t="s">
        <v>697</v>
      </c>
      <c r="CV12" s="2" t="s">
        <v>697</v>
      </c>
      <c r="CW12" s="2" t="s">
        <v>697</v>
      </c>
      <c r="CX12" s="2" t="s">
        <v>697</v>
      </c>
      <c r="CY12" s="2" t="s">
        <v>697</v>
      </c>
      <c r="CZ12" s="2" t="s">
        <v>697</v>
      </c>
      <c r="DA12" s="2" t="s">
        <v>701</v>
      </c>
      <c r="DB12" s="11" t="s">
        <v>757</v>
      </c>
      <c r="DC12" s="9">
        <v>112173385</v>
      </c>
      <c r="DD12" s="9">
        <v>5946536</v>
      </c>
      <c r="DE12" s="9">
        <v>0</v>
      </c>
      <c r="DF12" s="9">
        <v>722954.85</v>
      </c>
      <c r="DG12" s="2" t="s">
        <v>697</v>
      </c>
      <c r="DH12" s="2" t="s">
        <v>697</v>
      </c>
      <c r="DI12" s="2" t="s">
        <v>697</v>
      </c>
      <c r="DJ12" s="2" t="s">
        <v>697</v>
      </c>
      <c r="DK12" s="2" t="s">
        <v>697</v>
      </c>
      <c r="DL12" s="2" t="s">
        <v>697</v>
      </c>
      <c r="DM12" s="2" t="s">
        <v>697</v>
      </c>
      <c r="DN12" s="2" t="s">
        <v>697</v>
      </c>
      <c r="DO12" s="2" t="s">
        <v>697</v>
      </c>
      <c r="DP12" s="2" t="s">
        <v>697</v>
      </c>
      <c r="DQ12" s="2" t="s">
        <v>697</v>
      </c>
      <c r="DR12" s="2" t="s">
        <v>697</v>
      </c>
      <c r="DS12" s="2" t="s">
        <v>697</v>
      </c>
      <c r="DT12" s="2" t="s">
        <v>697</v>
      </c>
      <c r="DU12" s="2" t="s">
        <v>697</v>
      </c>
      <c r="DV12" s="2" t="s">
        <v>697</v>
      </c>
      <c r="DW12" s="2" t="s">
        <v>697</v>
      </c>
      <c r="DX12" s="2" t="s">
        <v>697</v>
      </c>
      <c r="DY12" s="2" t="s">
        <v>697</v>
      </c>
      <c r="DZ12" s="2" t="s">
        <v>697</v>
      </c>
      <c r="EA12" s="2" t="s">
        <v>697</v>
      </c>
      <c r="EB12" s="2" t="s">
        <v>697</v>
      </c>
      <c r="EC12" s="2" t="s">
        <v>697</v>
      </c>
      <c r="ED12" s="2" t="s">
        <v>697</v>
      </c>
      <c r="EE12" s="2" t="s">
        <v>759</v>
      </c>
      <c r="EF12" s="2" t="s">
        <v>697</v>
      </c>
      <c r="EG12" s="8">
        <v>3.8600000000000002E-2</v>
      </c>
      <c r="EH12" s="2" t="s">
        <v>697</v>
      </c>
      <c r="EI12" s="2" t="s">
        <v>697</v>
      </c>
      <c r="EJ12" s="12">
        <v>0.02</v>
      </c>
      <c r="EK12" s="2" t="s">
        <v>780</v>
      </c>
      <c r="EL12" s="2" t="s">
        <v>697</v>
      </c>
      <c r="EM12" s="2" t="s">
        <v>697</v>
      </c>
      <c r="EN12" s="2" t="s">
        <v>697</v>
      </c>
      <c r="EO12" s="2" t="s">
        <v>697</v>
      </c>
      <c r="EP12" s="2" t="s">
        <v>697</v>
      </c>
      <c r="EQ12" s="2" t="s">
        <v>697</v>
      </c>
      <c r="ER12" s="2" t="s">
        <v>697</v>
      </c>
      <c r="ES12" s="2" t="s">
        <v>697</v>
      </c>
      <c r="ET12" s="2" t="s">
        <v>697</v>
      </c>
      <c r="EU12" s="2" t="s">
        <v>697</v>
      </c>
      <c r="EV12" s="2" t="s">
        <v>697</v>
      </c>
      <c r="EW12" s="2" t="s">
        <v>697</v>
      </c>
      <c r="EX12" s="2" t="s">
        <v>697</v>
      </c>
      <c r="EY12" s="2" t="s">
        <v>697</v>
      </c>
      <c r="EZ12" s="2" t="s">
        <v>697</v>
      </c>
      <c r="FA12" s="2" t="s">
        <v>697</v>
      </c>
      <c r="FB12" s="2" t="s">
        <v>697</v>
      </c>
      <c r="FC12" s="2" t="s">
        <v>697</v>
      </c>
      <c r="FD12" s="2" t="s">
        <v>697</v>
      </c>
      <c r="FE12" s="2" t="s">
        <v>697</v>
      </c>
      <c r="FF12" s="2" t="s">
        <v>697</v>
      </c>
      <c r="FG12" s="2" t="s">
        <v>697</v>
      </c>
      <c r="FH12" s="2" t="s">
        <v>697</v>
      </c>
      <c r="FI12" s="2" t="s">
        <v>697</v>
      </c>
      <c r="FJ12" s="2" t="s">
        <v>697</v>
      </c>
      <c r="FK12" s="2" t="s">
        <v>697</v>
      </c>
      <c r="FL12" s="2" t="s">
        <v>697</v>
      </c>
      <c r="FM12" s="2" t="s">
        <v>697</v>
      </c>
      <c r="FN12" s="2" t="s">
        <v>697</v>
      </c>
      <c r="FO12" s="2" t="s">
        <v>697</v>
      </c>
      <c r="FP12" s="2" t="s">
        <v>697</v>
      </c>
      <c r="FQ12" s="2" t="s">
        <v>697</v>
      </c>
      <c r="FR12" s="2" t="s">
        <v>697</v>
      </c>
      <c r="FS12" s="2" t="s">
        <v>697</v>
      </c>
      <c r="FT12" s="2" t="s">
        <v>697</v>
      </c>
      <c r="FU12" s="2" t="s">
        <v>697</v>
      </c>
      <c r="FV12" s="2" t="s">
        <v>697</v>
      </c>
      <c r="FW12" s="2" t="s">
        <v>697</v>
      </c>
      <c r="FX12" s="2" t="s">
        <v>697</v>
      </c>
      <c r="FY12" s="2" t="s">
        <v>697</v>
      </c>
      <c r="FZ12" s="2" t="s">
        <v>697</v>
      </c>
      <c r="GA12" s="2" t="s">
        <v>697</v>
      </c>
      <c r="GB12" s="5">
        <v>23235018</v>
      </c>
      <c r="GC12" s="5">
        <v>9488000</v>
      </c>
      <c r="GD12" s="5">
        <v>118453</v>
      </c>
      <c r="GE12" s="5">
        <v>1020687</v>
      </c>
      <c r="GF12" s="5">
        <v>2764401</v>
      </c>
      <c r="GG12" s="5">
        <v>20606233</v>
      </c>
      <c r="GH12" s="13" t="s">
        <v>697</v>
      </c>
      <c r="GI12" s="13" t="s">
        <v>697</v>
      </c>
      <c r="GJ12" s="13" t="s">
        <v>697</v>
      </c>
      <c r="GK12" s="13" t="s">
        <v>697</v>
      </c>
      <c r="GL12" s="13" t="s">
        <v>697</v>
      </c>
      <c r="GM12" s="13" t="s">
        <v>697</v>
      </c>
      <c r="GN12" s="13" t="s">
        <v>697</v>
      </c>
      <c r="GO12" s="13" t="s">
        <v>697</v>
      </c>
      <c r="GP12" s="13" t="s">
        <v>697</v>
      </c>
      <c r="GQ12" s="13" t="s">
        <v>697</v>
      </c>
      <c r="GR12" s="13" t="s">
        <v>697</v>
      </c>
      <c r="GS12" s="13" t="s">
        <v>697</v>
      </c>
      <c r="GT12" s="13" t="s">
        <v>697</v>
      </c>
      <c r="GU12" s="13" t="s">
        <v>697</v>
      </c>
      <c r="GV12" s="13" t="s">
        <v>697</v>
      </c>
      <c r="GW12" s="13" t="s">
        <v>697</v>
      </c>
      <c r="GX12" s="13" t="s">
        <v>697</v>
      </c>
      <c r="GY12" s="13" t="s">
        <v>697</v>
      </c>
      <c r="GZ12" s="13" t="s">
        <v>697</v>
      </c>
      <c r="HA12" s="13" t="s">
        <v>697</v>
      </c>
      <c r="HB12" s="13" t="s">
        <v>697</v>
      </c>
      <c r="HC12" s="13" t="s">
        <v>697</v>
      </c>
      <c r="HD12" s="13" t="s">
        <v>697</v>
      </c>
      <c r="HE12" s="13" t="s">
        <v>697</v>
      </c>
      <c r="HF12" s="2" t="s">
        <v>697</v>
      </c>
      <c r="HG12" s="2" t="s">
        <v>697</v>
      </c>
      <c r="HH12" s="2" t="s">
        <v>697</v>
      </c>
      <c r="HI12" s="2" t="s">
        <v>697</v>
      </c>
      <c r="HJ12" s="2" t="s">
        <v>697</v>
      </c>
      <c r="HK12" s="2" t="s">
        <v>697</v>
      </c>
      <c r="HL12" s="2" t="s">
        <v>697</v>
      </c>
      <c r="HM12" s="2" t="s">
        <v>697</v>
      </c>
      <c r="HN12" s="2" t="s">
        <v>697</v>
      </c>
      <c r="HO12" s="2" t="s">
        <v>697</v>
      </c>
      <c r="HP12" s="2" t="s">
        <v>697</v>
      </c>
      <c r="HQ12" s="2" t="s">
        <v>697</v>
      </c>
      <c r="HR12" s="2" t="s">
        <v>764</v>
      </c>
      <c r="HS12" s="12">
        <v>1</v>
      </c>
      <c r="HT12" s="2" t="s">
        <v>765</v>
      </c>
      <c r="HU12" s="12">
        <v>1</v>
      </c>
      <c r="HV12" s="12">
        <v>1</v>
      </c>
      <c r="HW12" s="12">
        <v>0.5</v>
      </c>
      <c r="HX12" s="12">
        <v>0.5</v>
      </c>
      <c r="HY12" s="2" t="s">
        <v>709</v>
      </c>
      <c r="HZ12" s="2" t="s">
        <v>697</v>
      </c>
      <c r="IA12" s="2" t="s">
        <v>697</v>
      </c>
      <c r="IB12" s="2" t="s">
        <v>697</v>
      </c>
      <c r="IC12" s="2" t="s">
        <v>697</v>
      </c>
      <c r="ID12" s="2" t="s">
        <v>697</v>
      </c>
      <c r="IE12" s="2" t="s">
        <v>697</v>
      </c>
      <c r="IF12" s="2" t="s">
        <v>697</v>
      </c>
      <c r="IG12" s="2" t="s">
        <v>697</v>
      </c>
      <c r="IH12" s="2" t="s">
        <v>697</v>
      </c>
      <c r="II12" s="2" t="s">
        <v>697</v>
      </c>
      <c r="IJ12" s="2" t="s">
        <v>697</v>
      </c>
      <c r="IK12" s="2" t="s">
        <v>697</v>
      </c>
      <c r="IL12" s="2" t="s">
        <v>697</v>
      </c>
      <c r="IM12" s="2" t="s">
        <v>697</v>
      </c>
      <c r="IN12" s="2" t="s">
        <v>697</v>
      </c>
      <c r="IO12" s="2" t="s">
        <v>697</v>
      </c>
      <c r="IP12" s="2" t="s">
        <v>697</v>
      </c>
      <c r="IQ12" s="2" t="s">
        <v>697</v>
      </c>
      <c r="IR12" s="2" t="s">
        <v>697</v>
      </c>
      <c r="IS12" s="2" t="s">
        <v>697</v>
      </c>
      <c r="IT12" s="2" t="s">
        <v>697</v>
      </c>
      <c r="IU12" s="2" t="s">
        <v>697</v>
      </c>
      <c r="IV12" s="2" t="s">
        <v>697</v>
      </c>
      <c r="IW12" s="2" t="s">
        <v>697</v>
      </c>
      <c r="IX12" s="2" t="s">
        <v>697</v>
      </c>
      <c r="IY12" s="2" t="s">
        <v>697</v>
      </c>
      <c r="IZ12" s="2" t="s">
        <v>697</v>
      </c>
      <c r="JA12" s="2" t="s">
        <v>697</v>
      </c>
      <c r="JB12" s="2" t="s">
        <v>697</v>
      </c>
      <c r="JC12" s="2" t="s">
        <v>697</v>
      </c>
      <c r="JD12" s="2" t="s">
        <v>697</v>
      </c>
      <c r="JE12" s="2" t="s">
        <v>697</v>
      </c>
      <c r="JF12" s="2" t="s">
        <v>697</v>
      </c>
      <c r="JG12" s="2" t="s">
        <v>697</v>
      </c>
      <c r="JH12" s="2" t="s">
        <v>697</v>
      </c>
      <c r="JI12" s="2" t="s">
        <v>697</v>
      </c>
      <c r="JJ12" s="2" t="s">
        <v>697</v>
      </c>
      <c r="JK12" s="2" t="s">
        <v>697</v>
      </c>
      <c r="JL12" s="2" t="s">
        <v>697</v>
      </c>
      <c r="JM12" s="2" t="s">
        <v>697</v>
      </c>
      <c r="JN12" s="2" t="s">
        <v>697</v>
      </c>
      <c r="JO12" s="2" t="s">
        <v>697</v>
      </c>
      <c r="JP12" s="2" t="s">
        <v>697</v>
      </c>
      <c r="JQ12" s="2" t="s">
        <v>697</v>
      </c>
      <c r="JR12" s="2" t="s">
        <v>697</v>
      </c>
      <c r="JS12" s="2" t="s">
        <v>697</v>
      </c>
      <c r="JT12" s="2" t="s">
        <v>697</v>
      </c>
      <c r="JU12" s="2" t="s">
        <v>697</v>
      </c>
      <c r="JV12" s="2" t="s">
        <v>697</v>
      </c>
      <c r="JW12" s="2" t="s">
        <v>697</v>
      </c>
      <c r="JX12" s="2" t="s">
        <v>697</v>
      </c>
      <c r="JY12" s="2" t="s">
        <v>697</v>
      </c>
      <c r="JZ12" s="2" t="s">
        <v>697</v>
      </c>
      <c r="KA12" s="2" t="s">
        <v>697</v>
      </c>
      <c r="KB12" s="2" t="s">
        <v>697</v>
      </c>
      <c r="KC12" s="2" t="s">
        <v>697</v>
      </c>
      <c r="KD12" s="2" t="s">
        <v>697</v>
      </c>
      <c r="KE12" s="2" t="s">
        <v>697</v>
      </c>
      <c r="KF12" s="2" t="s">
        <v>697</v>
      </c>
      <c r="KG12" s="2" t="s">
        <v>697</v>
      </c>
      <c r="KH12" s="2" t="s">
        <v>697</v>
      </c>
      <c r="KI12" s="2" t="s">
        <v>697</v>
      </c>
      <c r="KJ12" s="2" t="s">
        <v>697</v>
      </c>
      <c r="KK12" s="2" t="s">
        <v>697</v>
      </c>
      <c r="KL12" s="2" t="s">
        <v>697</v>
      </c>
      <c r="KM12" s="2" t="s">
        <v>697</v>
      </c>
      <c r="KN12" s="2" t="s">
        <v>697</v>
      </c>
      <c r="KO12" s="2" t="s">
        <v>697</v>
      </c>
      <c r="KP12" s="2" t="s">
        <v>697</v>
      </c>
      <c r="KQ12" s="2" t="s">
        <v>697</v>
      </c>
      <c r="KR12" s="2" t="s">
        <v>697</v>
      </c>
      <c r="KS12" s="2" t="s">
        <v>697</v>
      </c>
      <c r="KT12" s="2" t="s">
        <v>697</v>
      </c>
      <c r="KU12" s="2" t="s">
        <v>697</v>
      </c>
      <c r="KV12" s="2" t="s">
        <v>697</v>
      </c>
      <c r="KW12" s="2" t="s">
        <v>697</v>
      </c>
      <c r="KX12" s="2" t="s">
        <v>697</v>
      </c>
      <c r="KY12" s="2" t="s">
        <v>697</v>
      </c>
      <c r="KZ12" s="2" t="s">
        <v>697</v>
      </c>
      <c r="LA12" s="2" t="s">
        <v>697</v>
      </c>
      <c r="LB12" s="2" t="s">
        <v>697</v>
      </c>
      <c r="LC12" s="2" t="s">
        <v>697</v>
      </c>
      <c r="LD12" s="2" t="s">
        <v>697</v>
      </c>
      <c r="LE12" s="2" t="s">
        <v>697</v>
      </c>
      <c r="LF12" s="2" t="s">
        <v>701</v>
      </c>
      <c r="LG12" s="3" t="s">
        <v>787</v>
      </c>
      <c r="LH12" s="2" t="s">
        <v>701</v>
      </c>
      <c r="LI12" s="3" t="s">
        <v>767</v>
      </c>
      <c r="LJ12" s="2" t="s">
        <v>701</v>
      </c>
      <c r="LK12" s="2">
        <v>2011</v>
      </c>
      <c r="LL12" s="2">
        <v>14</v>
      </c>
      <c r="LM12" s="3" t="s">
        <v>788</v>
      </c>
      <c r="LN12" s="4">
        <v>4746347</v>
      </c>
      <c r="LO12" s="2" t="s">
        <v>698</v>
      </c>
      <c r="LP12" s="2">
        <v>28.3</v>
      </c>
      <c r="LQ12" s="14">
        <v>0.251</v>
      </c>
      <c r="LR12" s="14">
        <v>2.1999999999999999E-2</v>
      </c>
      <c r="LS12" s="14">
        <v>0.28899999999999998</v>
      </c>
      <c r="LT12" s="14">
        <v>0.38400000000000001</v>
      </c>
      <c r="LU12" s="14">
        <v>4.9000000000000002E-2</v>
      </c>
      <c r="LV12" s="14">
        <v>2E-3</v>
      </c>
      <c r="LW12" s="14">
        <v>4.0000000000000001E-3</v>
      </c>
      <c r="LX12" s="2" t="s">
        <v>709</v>
      </c>
      <c r="LY12" s="2" t="s">
        <v>697</v>
      </c>
      <c r="LZ12" s="2" t="s">
        <v>697</v>
      </c>
      <c r="MA12" s="2" t="s">
        <v>697</v>
      </c>
      <c r="MB12" s="2" t="s">
        <v>697</v>
      </c>
      <c r="MC12" s="2" t="s">
        <v>697</v>
      </c>
      <c r="MD12" s="2" t="s">
        <v>697</v>
      </c>
      <c r="ME12" s="2" t="s">
        <v>769</v>
      </c>
      <c r="MF12" s="2" t="s">
        <v>711</v>
      </c>
      <c r="MG12" s="17" t="s">
        <v>721</v>
      </c>
      <c r="MH12" s="2" t="s">
        <v>701</v>
      </c>
      <c r="MI12" s="2">
        <v>15</v>
      </c>
      <c r="MJ12" s="18">
        <v>47331</v>
      </c>
      <c r="MK12" s="2" t="s">
        <v>781</v>
      </c>
      <c r="ML12" s="17" t="s">
        <v>789</v>
      </c>
      <c r="MM12" s="2" t="s">
        <v>782</v>
      </c>
    </row>
    <row r="13" spans="1:351" s="25" customFormat="1" ht="91.5" customHeight="1" x14ac:dyDescent="0.25">
      <c r="A13" s="15">
        <v>3501</v>
      </c>
      <c r="B13" s="15" t="s">
        <v>802</v>
      </c>
      <c r="C13" s="27" t="s">
        <v>746</v>
      </c>
      <c r="D13" s="55">
        <v>22048504</v>
      </c>
      <c r="E13" s="2" t="s">
        <v>848</v>
      </c>
      <c r="F13" s="2">
        <v>16</v>
      </c>
      <c r="G13" s="2">
        <v>16</v>
      </c>
      <c r="H13" s="2">
        <v>16</v>
      </c>
      <c r="I13" s="2">
        <f>62+17+10+94</f>
        <v>183</v>
      </c>
      <c r="J13" s="2">
        <f>62+17+10+71</f>
        <v>160</v>
      </c>
      <c r="K13" s="2">
        <f>62+17+10+71</f>
        <v>160</v>
      </c>
      <c r="L13" s="2" t="s">
        <v>701</v>
      </c>
      <c r="M13" s="39" t="s">
        <v>747</v>
      </c>
      <c r="N13" s="4">
        <v>4355</v>
      </c>
      <c r="O13" s="2">
        <v>73</v>
      </c>
      <c r="P13" s="2">
        <v>186</v>
      </c>
      <c r="Q13" s="2">
        <v>104</v>
      </c>
      <c r="R13" s="2">
        <v>3925</v>
      </c>
      <c r="S13" s="2">
        <v>74</v>
      </c>
      <c r="T13" s="2">
        <f>29+(852/6)+34</f>
        <v>205</v>
      </c>
      <c r="U13" s="2" t="s">
        <v>748</v>
      </c>
      <c r="V13" s="2">
        <v>204</v>
      </c>
      <c r="W13" s="2">
        <v>2048</v>
      </c>
      <c r="X13" s="2" t="s">
        <v>697</v>
      </c>
      <c r="Y13" s="2" t="s">
        <v>697</v>
      </c>
      <c r="Z13" s="2" t="s">
        <v>697</v>
      </c>
      <c r="AA13" s="2" t="s">
        <v>697</v>
      </c>
      <c r="AB13" s="2">
        <f>189/7</f>
        <v>27</v>
      </c>
      <c r="AC13" s="2">
        <f>146*7</f>
        <v>1022</v>
      </c>
      <c r="AD13" s="2" t="s">
        <v>697</v>
      </c>
      <c r="AE13" s="2" t="s">
        <v>697</v>
      </c>
      <c r="AF13" s="5">
        <v>206751547</v>
      </c>
      <c r="AG13" s="5">
        <f>3052920+13688052+3898912</f>
        <v>20639884</v>
      </c>
      <c r="AH13" s="5">
        <v>11473950</v>
      </c>
      <c r="AI13" s="5" t="s">
        <v>697</v>
      </c>
      <c r="AJ13" s="5" t="s">
        <v>697</v>
      </c>
      <c r="AK13" s="5">
        <v>1202786</v>
      </c>
      <c r="AL13" s="2" t="s">
        <v>697</v>
      </c>
      <c r="AM13" s="6">
        <v>6.67</v>
      </c>
      <c r="AN13" s="2" t="s">
        <v>749</v>
      </c>
      <c r="AO13" s="2">
        <v>10</v>
      </c>
      <c r="AP13" s="2" t="s">
        <v>697</v>
      </c>
      <c r="AQ13" s="2">
        <v>5.5</v>
      </c>
      <c r="AR13" s="2" t="s">
        <v>697</v>
      </c>
      <c r="AS13" s="2">
        <v>16</v>
      </c>
      <c r="AT13" s="2">
        <v>16</v>
      </c>
      <c r="AU13" s="2">
        <v>16</v>
      </c>
      <c r="AV13" s="2">
        <v>16</v>
      </c>
      <c r="AW13" s="2">
        <f>62+17+10+94</f>
        <v>183</v>
      </c>
      <c r="AX13" s="2">
        <f>62+17+10</f>
        <v>89</v>
      </c>
      <c r="AY13" s="2">
        <f>62+17+10+92</f>
        <v>181</v>
      </c>
      <c r="AZ13" s="2">
        <f>62+17+10+94</f>
        <v>183</v>
      </c>
      <c r="BA13" s="2" t="s">
        <v>701</v>
      </c>
      <c r="BB13" s="2" t="s">
        <v>750</v>
      </c>
      <c r="BC13" s="2" t="s">
        <v>751</v>
      </c>
      <c r="BD13" s="2" t="s">
        <v>701</v>
      </c>
      <c r="BE13" s="7" t="s">
        <v>701</v>
      </c>
      <c r="BF13" s="7" t="s">
        <v>701</v>
      </c>
      <c r="BG13" s="2" t="s">
        <v>701</v>
      </c>
      <c r="BH13" s="7" t="s">
        <v>698</v>
      </c>
      <c r="BI13" s="7" t="s">
        <v>698</v>
      </c>
      <c r="BJ13" s="2" t="s">
        <v>701</v>
      </c>
      <c r="BK13" s="8">
        <v>0.6704</v>
      </c>
      <c r="BL13" s="8" t="s">
        <v>752</v>
      </c>
      <c r="BM13" s="8">
        <v>0.98899999999999999</v>
      </c>
      <c r="BN13" s="2" t="s">
        <v>697</v>
      </c>
      <c r="BO13" s="2" t="s">
        <v>697</v>
      </c>
      <c r="BP13" s="8">
        <v>0.92900000000000005</v>
      </c>
      <c r="BQ13" s="2" t="s">
        <v>697</v>
      </c>
      <c r="BR13" s="8">
        <v>0.3296</v>
      </c>
      <c r="BS13" s="45" t="s">
        <v>753</v>
      </c>
      <c r="BT13" s="8">
        <v>1.0999999999999999E-2</v>
      </c>
      <c r="BU13" s="2" t="s">
        <v>697</v>
      </c>
      <c r="BV13" s="2" t="s">
        <v>697</v>
      </c>
      <c r="BW13" s="8">
        <v>7.0999999999999994E-2</v>
      </c>
      <c r="BX13" s="2" t="s">
        <v>697</v>
      </c>
      <c r="BY13" s="2" t="s">
        <v>754</v>
      </c>
      <c r="BZ13" s="9">
        <v>5.0999999999999996</v>
      </c>
      <c r="CA13" s="9">
        <v>4.8</v>
      </c>
      <c r="CB13" s="2" t="s">
        <v>755</v>
      </c>
      <c r="CC13" s="9">
        <v>5.0999999999999996</v>
      </c>
      <c r="CD13" s="9">
        <v>4.8</v>
      </c>
      <c r="CE13" s="2" t="s">
        <v>756</v>
      </c>
      <c r="CF13" s="9">
        <v>5.8</v>
      </c>
      <c r="CG13" s="9">
        <v>5.45</v>
      </c>
      <c r="CH13" s="10">
        <v>43856</v>
      </c>
      <c r="CI13" s="9">
        <v>4.4000000000000004</v>
      </c>
      <c r="CJ13" s="9">
        <v>4.3</v>
      </c>
      <c r="CK13" s="32">
        <v>44219</v>
      </c>
      <c r="CL13" s="9">
        <v>4.4000000000000004</v>
      </c>
      <c r="CM13" s="9">
        <v>4.3</v>
      </c>
      <c r="CN13" s="10">
        <v>44219</v>
      </c>
      <c r="CO13" s="2" t="s">
        <v>697</v>
      </c>
      <c r="CP13" s="2" t="s">
        <v>697</v>
      </c>
      <c r="CQ13" s="2" t="s">
        <v>697</v>
      </c>
      <c r="CR13" s="2" t="s">
        <v>697</v>
      </c>
      <c r="CS13" s="2" t="s">
        <v>697</v>
      </c>
      <c r="CT13" s="2" t="s">
        <v>697</v>
      </c>
      <c r="CU13" s="2" t="s">
        <v>697</v>
      </c>
      <c r="CV13" s="2" t="s">
        <v>697</v>
      </c>
      <c r="CW13" s="2" t="s">
        <v>697</v>
      </c>
      <c r="CX13" s="9">
        <v>4.4000000000000004</v>
      </c>
      <c r="CY13" s="9">
        <v>4.3</v>
      </c>
      <c r="CZ13" s="10">
        <v>44219</v>
      </c>
      <c r="DA13" s="2" t="s">
        <v>701</v>
      </c>
      <c r="DB13" s="11" t="s">
        <v>757</v>
      </c>
      <c r="DC13" s="9">
        <v>1447126355</v>
      </c>
      <c r="DD13" s="9">
        <v>95719027</v>
      </c>
      <c r="DE13" s="9">
        <v>0</v>
      </c>
      <c r="DF13" s="9">
        <f>3500840.6</f>
        <v>3500840.6</v>
      </c>
      <c r="DG13" s="9">
        <v>1583611579.7</v>
      </c>
      <c r="DH13" s="9">
        <v>234202410</v>
      </c>
      <c r="DI13" s="9">
        <v>0</v>
      </c>
      <c r="DJ13" s="9">
        <f>16130890.29+42865790+7961319.55</f>
        <v>66957999.839999996</v>
      </c>
      <c r="DK13" s="9">
        <v>1162009598.9200001</v>
      </c>
      <c r="DL13" s="9">
        <v>139333264.40000001</v>
      </c>
      <c r="DM13" s="9">
        <v>919288987.29999995</v>
      </c>
      <c r="DN13" s="9">
        <v>16521515.210000001</v>
      </c>
      <c r="DO13" s="2" t="s">
        <v>697</v>
      </c>
      <c r="DP13" s="2" t="s">
        <v>697</v>
      </c>
      <c r="DQ13" s="2" t="s">
        <v>697</v>
      </c>
      <c r="DR13" s="2" t="s">
        <v>697</v>
      </c>
      <c r="DS13" s="2" t="s">
        <v>697</v>
      </c>
      <c r="DT13" s="2" t="s">
        <v>697</v>
      </c>
      <c r="DU13" s="2" t="s">
        <v>697</v>
      </c>
      <c r="DV13" s="2" t="s">
        <v>697</v>
      </c>
      <c r="DW13" s="2" t="s">
        <v>758</v>
      </c>
      <c r="DX13" s="2" t="s">
        <v>758</v>
      </c>
      <c r="DY13" s="2" t="s">
        <v>758</v>
      </c>
      <c r="DZ13" s="2" t="s">
        <v>758</v>
      </c>
      <c r="EA13" s="2" t="s">
        <v>697</v>
      </c>
      <c r="EB13" s="2" t="s">
        <v>697</v>
      </c>
      <c r="EC13" s="2" t="s">
        <v>697</v>
      </c>
      <c r="ED13" s="2" t="s">
        <v>697</v>
      </c>
      <c r="EE13" s="2" t="s">
        <v>759</v>
      </c>
      <c r="EF13" s="2" t="s">
        <v>697</v>
      </c>
      <c r="EG13" s="8">
        <v>3.8600000000000002E-2</v>
      </c>
      <c r="EH13" s="2" t="s">
        <v>697</v>
      </c>
      <c r="EI13" s="2" t="s">
        <v>697</v>
      </c>
      <c r="EJ13" s="12">
        <v>0.02</v>
      </c>
      <c r="EK13" s="2" t="s">
        <v>760</v>
      </c>
      <c r="EL13" s="2" t="s">
        <v>761</v>
      </c>
      <c r="EM13" s="2" t="s">
        <v>697</v>
      </c>
      <c r="EN13" s="2" t="s">
        <v>697</v>
      </c>
      <c r="EO13" s="2" t="s">
        <v>697</v>
      </c>
      <c r="EP13" s="2" t="s">
        <v>697</v>
      </c>
      <c r="EQ13" s="12">
        <v>0.02</v>
      </c>
      <c r="ER13" s="2" t="s">
        <v>762</v>
      </c>
      <c r="ES13" s="2" t="s">
        <v>763</v>
      </c>
      <c r="ET13" s="2" t="s">
        <v>697</v>
      </c>
      <c r="EU13" s="2" t="s">
        <v>697</v>
      </c>
      <c r="EV13" s="8">
        <v>6.4999999999999997E-3</v>
      </c>
      <c r="EW13" s="8">
        <v>0.03</v>
      </c>
      <c r="EX13" s="46">
        <v>0.02</v>
      </c>
      <c r="EY13" s="2" t="s">
        <v>762</v>
      </c>
      <c r="EZ13" s="2" t="s">
        <v>697</v>
      </c>
      <c r="FA13" s="2" t="s">
        <v>697</v>
      </c>
      <c r="FB13" s="2" t="s">
        <v>697</v>
      </c>
      <c r="FC13" s="2" t="s">
        <v>697</v>
      </c>
      <c r="FD13" s="2" t="s">
        <v>697</v>
      </c>
      <c r="FE13" s="2" t="s">
        <v>697</v>
      </c>
      <c r="FF13" s="2" t="s">
        <v>697</v>
      </c>
      <c r="FG13" s="2" t="s">
        <v>697</v>
      </c>
      <c r="FH13" s="2" t="s">
        <v>697</v>
      </c>
      <c r="FI13" s="2" t="s">
        <v>697</v>
      </c>
      <c r="FJ13" s="2" t="s">
        <v>697</v>
      </c>
      <c r="FK13" s="2" t="s">
        <v>697</v>
      </c>
      <c r="FL13" s="2" t="s">
        <v>697</v>
      </c>
      <c r="FM13" s="2" t="s">
        <v>697</v>
      </c>
      <c r="FN13" s="2" t="s">
        <v>761</v>
      </c>
      <c r="FO13" s="2" t="s">
        <v>697</v>
      </c>
      <c r="FP13" s="2" t="s">
        <v>697</v>
      </c>
      <c r="FQ13" s="2" t="s">
        <v>697</v>
      </c>
      <c r="FR13" s="2" t="s">
        <v>697</v>
      </c>
      <c r="FS13" s="12">
        <v>0.02</v>
      </c>
      <c r="FT13" s="2" t="s">
        <v>762</v>
      </c>
      <c r="FU13" s="2" t="s">
        <v>697</v>
      </c>
      <c r="FV13" s="2" t="s">
        <v>697</v>
      </c>
      <c r="FW13" s="2" t="s">
        <v>697</v>
      </c>
      <c r="FX13" s="2" t="s">
        <v>697</v>
      </c>
      <c r="FY13" s="2" t="s">
        <v>697</v>
      </c>
      <c r="FZ13" s="2" t="s">
        <v>697</v>
      </c>
      <c r="GA13" s="2" t="s">
        <v>697</v>
      </c>
      <c r="GB13" s="5">
        <v>301320774</v>
      </c>
      <c r="GC13" s="5">
        <v>125703214</v>
      </c>
      <c r="GD13" s="5">
        <v>2216688</v>
      </c>
      <c r="GE13" s="5">
        <v>13095185</v>
      </c>
      <c r="GF13" s="5">
        <v>50073166</v>
      </c>
      <c r="GG13" s="5">
        <v>258770752</v>
      </c>
      <c r="GH13" s="5">
        <f>11229636+77293198</f>
        <v>88522834</v>
      </c>
      <c r="GI13" s="5">
        <f>14650789+91546031</f>
        <v>106196820</v>
      </c>
      <c r="GJ13" s="5">
        <f>1258002+9426594</f>
        <v>10684596</v>
      </c>
      <c r="GK13" s="5">
        <f>74341810+239356048+58767187</f>
        <v>372465045</v>
      </c>
      <c r="GL13" s="5">
        <f>598328+45305966</f>
        <v>45904294</v>
      </c>
      <c r="GM13" s="5">
        <f>111031503+76935947+98482646</f>
        <v>286450096</v>
      </c>
      <c r="GN13" s="5">
        <v>277569244</v>
      </c>
      <c r="GO13" s="5">
        <v>105018829</v>
      </c>
      <c r="GP13" s="5">
        <v>5362645</v>
      </c>
      <c r="GQ13" s="5">
        <v>21399569</v>
      </c>
      <c r="GR13" s="5">
        <v>30410709</v>
      </c>
      <c r="GS13" s="5">
        <v>504577362</v>
      </c>
      <c r="GT13" s="13" t="s">
        <v>697</v>
      </c>
      <c r="GU13" s="13" t="s">
        <v>697</v>
      </c>
      <c r="GV13" s="13" t="s">
        <v>697</v>
      </c>
      <c r="GW13" s="13" t="s">
        <v>697</v>
      </c>
      <c r="GX13" s="13" t="s">
        <v>697</v>
      </c>
      <c r="GY13" s="13" t="s">
        <v>697</v>
      </c>
      <c r="GZ13" s="13" t="s">
        <v>697</v>
      </c>
      <c r="HA13" s="13" t="s">
        <v>697</v>
      </c>
      <c r="HB13" s="13" t="s">
        <v>697</v>
      </c>
      <c r="HC13" s="13" t="s">
        <v>697</v>
      </c>
      <c r="HD13" s="13" t="s">
        <v>697</v>
      </c>
      <c r="HE13" s="13" t="s">
        <v>697</v>
      </c>
      <c r="HF13" s="5">
        <v>2270494</v>
      </c>
      <c r="HG13" s="5">
        <v>3071308</v>
      </c>
      <c r="HH13" s="5">
        <v>196473</v>
      </c>
      <c r="HI13" s="5">
        <v>5929574</v>
      </c>
      <c r="HJ13" s="5">
        <v>981947</v>
      </c>
      <c r="HK13" s="5">
        <v>2108763</v>
      </c>
      <c r="HL13" s="2" t="s">
        <v>697</v>
      </c>
      <c r="HM13" s="2" t="s">
        <v>697</v>
      </c>
      <c r="HN13" s="2" t="s">
        <v>697</v>
      </c>
      <c r="HO13" s="2" t="s">
        <v>697</v>
      </c>
      <c r="HP13" s="2" t="s">
        <v>697</v>
      </c>
      <c r="HQ13" s="2" t="s">
        <v>697</v>
      </c>
      <c r="HR13" s="2" t="s">
        <v>764</v>
      </c>
      <c r="HS13" s="12">
        <v>1</v>
      </c>
      <c r="HT13" s="2" t="s">
        <v>765</v>
      </c>
      <c r="HU13" s="12">
        <v>1</v>
      </c>
      <c r="HV13" s="12">
        <v>1</v>
      </c>
      <c r="HW13" s="12">
        <v>0.5</v>
      </c>
      <c r="HX13" s="12">
        <v>0.5</v>
      </c>
      <c r="HY13" s="2" t="s">
        <v>709</v>
      </c>
      <c r="HZ13" s="2" t="s">
        <v>697</v>
      </c>
      <c r="IA13" s="2" t="s">
        <v>697</v>
      </c>
      <c r="IB13" s="2" t="s">
        <v>697</v>
      </c>
      <c r="IC13" s="2" t="s">
        <v>697</v>
      </c>
      <c r="ID13" s="2" t="s">
        <v>697</v>
      </c>
      <c r="IE13" s="2" t="s">
        <v>697</v>
      </c>
      <c r="IF13" s="2" t="s">
        <v>697</v>
      </c>
      <c r="IG13" s="2" t="s">
        <v>697</v>
      </c>
      <c r="IH13" s="2" t="s">
        <v>697</v>
      </c>
      <c r="II13" s="2" t="s">
        <v>701</v>
      </c>
      <c r="IJ13" s="7">
        <v>0.51100000000000001</v>
      </c>
      <c r="IK13" s="7">
        <v>0.20100000000000001</v>
      </c>
      <c r="IL13" s="7">
        <v>0</v>
      </c>
      <c r="IM13" s="7">
        <v>0</v>
      </c>
      <c r="IN13" s="7">
        <v>0</v>
      </c>
      <c r="IO13" s="7">
        <v>2.4E-2</v>
      </c>
      <c r="IP13" s="7">
        <v>0</v>
      </c>
      <c r="IQ13" s="7">
        <v>0.16900000000000001</v>
      </c>
      <c r="IR13" s="7">
        <v>7.8E-2</v>
      </c>
      <c r="IS13" s="7">
        <v>1.7000000000000001E-2</v>
      </c>
      <c r="IT13" s="7">
        <v>0</v>
      </c>
      <c r="IU13" s="7">
        <v>0</v>
      </c>
      <c r="IV13" s="2" t="s">
        <v>701</v>
      </c>
      <c r="IW13" s="46">
        <v>0.33310000000000001</v>
      </c>
      <c r="IX13" s="48">
        <v>7.1900000000000006E-2</v>
      </c>
      <c r="IY13" s="48">
        <v>1.1999999999999999E-3</v>
      </c>
      <c r="IZ13" s="48">
        <v>0</v>
      </c>
      <c r="JA13" s="48">
        <v>0.35349999999999998</v>
      </c>
      <c r="JB13" s="48">
        <v>2.4899999999999999E-2</v>
      </c>
      <c r="JC13" s="48">
        <v>2.0000000000000001E-4</v>
      </c>
      <c r="JD13" s="48">
        <v>0.1032</v>
      </c>
      <c r="JE13" s="48">
        <v>9.3799999999999994E-2</v>
      </c>
      <c r="JF13" s="48">
        <v>2.0000000000000001E-4</v>
      </c>
      <c r="JG13" s="46">
        <v>0</v>
      </c>
      <c r="JH13" s="48">
        <v>1.8100000000000002E-2</v>
      </c>
      <c r="JI13" s="2" t="s">
        <v>697</v>
      </c>
      <c r="JJ13" s="2" t="s">
        <v>697</v>
      </c>
      <c r="JK13" s="2" t="s">
        <v>697</v>
      </c>
      <c r="JL13" s="2" t="s">
        <v>697</v>
      </c>
      <c r="JM13" s="2" t="s">
        <v>697</v>
      </c>
      <c r="JN13" s="2" t="s">
        <v>697</v>
      </c>
      <c r="JO13" s="2" t="s">
        <v>697</v>
      </c>
      <c r="JP13" s="2" t="s">
        <v>697</v>
      </c>
      <c r="JQ13" s="2" t="s">
        <v>697</v>
      </c>
      <c r="JR13" s="2" t="s">
        <v>697</v>
      </c>
      <c r="JS13" s="2" t="s">
        <v>697</v>
      </c>
      <c r="JT13" s="2" t="s">
        <v>697</v>
      </c>
      <c r="JU13" s="2" t="s">
        <v>697</v>
      </c>
      <c r="JV13" s="2" t="s">
        <v>697</v>
      </c>
      <c r="JW13" s="2" t="s">
        <v>697</v>
      </c>
      <c r="JX13" s="2" t="s">
        <v>697</v>
      </c>
      <c r="JY13" s="2" t="s">
        <v>697</v>
      </c>
      <c r="JZ13" s="2" t="s">
        <v>697</v>
      </c>
      <c r="KA13" s="2" t="s">
        <v>697</v>
      </c>
      <c r="KB13" s="2" t="s">
        <v>697</v>
      </c>
      <c r="KC13" s="2" t="s">
        <v>697</v>
      </c>
      <c r="KD13" s="2" t="s">
        <v>697</v>
      </c>
      <c r="KE13" s="2" t="s">
        <v>697</v>
      </c>
      <c r="KF13" s="2" t="s">
        <v>701</v>
      </c>
      <c r="KG13" s="7">
        <v>0.51100000000000001</v>
      </c>
      <c r="KH13" s="7">
        <v>0.20100000000000001</v>
      </c>
      <c r="KI13" s="7">
        <v>0</v>
      </c>
      <c r="KJ13" s="7">
        <v>0</v>
      </c>
      <c r="KK13" s="7">
        <v>0</v>
      </c>
      <c r="KL13" s="7">
        <v>2.4E-2</v>
      </c>
      <c r="KM13" s="7">
        <v>0</v>
      </c>
      <c r="KN13" s="7">
        <v>0.16900000000000001</v>
      </c>
      <c r="KO13" s="7">
        <v>7.8E-2</v>
      </c>
      <c r="KP13" s="7">
        <v>1.7000000000000001E-2</v>
      </c>
      <c r="KQ13" s="7">
        <v>0</v>
      </c>
      <c r="KR13" s="7">
        <v>0</v>
      </c>
      <c r="KS13" s="2" t="s">
        <v>697</v>
      </c>
      <c r="KT13" s="2" t="s">
        <v>697</v>
      </c>
      <c r="KU13" s="2" t="s">
        <v>697</v>
      </c>
      <c r="KV13" s="2" t="s">
        <v>697</v>
      </c>
      <c r="KW13" s="2" t="s">
        <v>697</v>
      </c>
      <c r="KX13" s="2" t="s">
        <v>697</v>
      </c>
      <c r="KY13" s="2" t="s">
        <v>697</v>
      </c>
      <c r="KZ13" s="2" t="s">
        <v>697</v>
      </c>
      <c r="LA13" s="2" t="s">
        <v>697</v>
      </c>
      <c r="LB13" s="2" t="s">
        <v>697</v>
      </c>
      <c r="LC13" s="2" t="s">
        <v>697</v>
      </c>
      <c r="LD13" s="2" t="s">
        <v>697</v>
      </c>
      <c r="LE13" s="2" t="s">
        <v>697</v>
      </c>
      <c r="LF13" s="2" t="s">
        <v>701</v>
      </c>
      <c r="LG13" s="2" t="s">
        <v>766</v>
      </c>
      <c r="LH13" s="2" t="s">
        <v>701</v>
      </c>
      <c r="LI13" s="3" t="s">
        <v>767</v>
      </c>
      <c r="LJ13" s="2" t="s">
        <v>701</v>
      </c>
      <c r="LK13" s="2">
        <v>2017</v>
      </c>
      <c r="LL13" s="2">
        <v>10</v>
      </c>
      <c r="LM13" s="3" t="s">
        <v>768</v>
      </c>
      <c r="LN13" s="4">
        <v>42000000</v>
      </c>
      <c r="LO13" s="2">
        <v>5.3</v>
      </c>
      <c r="LP13" s="2">
        <v>34</v>
      </c>
      <c r="LQ13" s="14">
        <v>0.31780000000000003</v>
      </c>
      <c r="LR13" s="14">
        <v>8.9999999999999993E-3</v>
      </c>
      <c r="LS13" s="14">
        <v>0.36409999999999998</v>
      </c>
      <c r="LT13" s="14">
        <v>0.27</v>
      </c>
      <c r="LU13" s="14">
        <v>2.5000000000000001E-2</v>
      </c>
      <c r="LV13" s="14">
        <v>1.0999999999999999E-2</v>
      </c>
      <c r="LW13" s="14">
        <v>3.0000000000000001E-3</v>
      </c>
      <c r="LX13" s="15" t="s">
        <v>701</v>
      </c>
      <c r="LY13" s="16">
        <v>2.2604728328494403E-2</v>
      </c>
      <c r="LZ13" s="16">
        <v>1.9701368726669433E-2</v>
      </c>
      <c r="MA13" s="16">
        <v>0</v>
      </c>
      <c r="MB13" s="16">
        <v>0</v>
      </c>
      <c r="MC13" s="16">
        <v>0</v>
      </c>
      <c r="MD13" s="16">
        <v>2.9033596018249691E-3</v>
      </c>
      <c r="ME13" s="2" t="s">
        <v>769</v>
      </c>
      <c r="MF13" s="2" t="s">
        <v>711</v>
      </c>
      <c r="MG13" s="17" t="s">
        <v>770</v>
      </c>
      <c r="MH13" s="2" t="s">
        <v>701</v>
      </c>
      <c r="MI13" s="2" t="s">
        <v>771</v>
      </c>
      <c r="MJ13" s="17" t="s">
        <v>772</v>
      </c>
      <c r="MK13" s="2" t="s">
        <v>773</v>
      </c>
      <c r="ML13" s="17" t="s">
        <v>774</v>
      </c>
      <c r="MM13" s="2" t="s">
        <v>775</v>
      </c>
    </row>
    <row r="14" spans="1:351" s="25" customFormat="1" ht="47.25" customHeight="1" x14ac:dyDescent="0.25">
      <c r="A14" s="15">
        <v>3507</v>
      </c>
      <c r="B14" s="15" t="s">
        <v>802</v>
      </c>
      <c r="C14" s="27" t="s">
        <v>797</v>
      </c>
      <c r="D14" s="55">
        <v>2189284</v>
      </c>
      <c r="E14" s="27" t="s">
        <v>700</v>
      </c>
      <c r="F14" s="2">
        <v>0</v>
      </c>
      <c r="G14" s="2">
        <v>0</v>
      </c>
      <c r="H14" s="2">
        <v>0</v>
      </c>
      <c r="I14" s="2" t="s">
        <v>697</v>
      </c>
      <c r="J14" s="2" t="s">
        <v>697</v>
      </c>
      <c r="K14" s="2" t="s">
        <v>697</v>
      </c>
      <c r="L14" s="2" t="s">
        <v>701</v>
      </c>
      <c r="M14" s="39" t="s">
        <v>777</v>
      </c>
      <c r="N14" s="2">
        <v>149</v>
      </c>
      <c r="O14" s="2">
        <v>71</v>
      </c>
      <c r="P14" s="2">
        <v>1</v>
      </c>
      <c r="Q14" s="2">
        <v>79</v>
      </c>
      <c r="R14" s="2">
        <v>95</v>
      </c>
      <c r="S14" s="2">
        <v>77</v>
      </c>
      <c r="T14" s="2" t="s">
        <v>697</v>
      </c>
      <c r="U14" s="2" t="s">
        <v>697</v>
      </c>
      <c r="V14" s="2" t="s">
        <v>697</v>
      </c>
      <c r="W14" s="2" t="s">
        <v>697</v>
      </c>
      <c r="X14" s="2" t="s">
        <v>697</v>
      </c>
      <c r="Y14" s="2" t="s">
        <v>697</v>
      </c>
      <c r="Z14" s="2" t="s">
        <v>697</v>
      </c>
      <c r="AA14" s="2" t="s">
        <v>697</v>
      </c>
      <c r="AB14" s="2" t="s">
        <v>697</v>
      </c>
      <c r="AC14" s="2" t="s">
        <v>697</v>
      </c>
      <c r="AD14" s="2" t="s">
        <v>697</v>
      </c>
      <c r="AE14" s="2" t="s">
        <v>697</v>
      </c>
      <c r="AF14" s="5">
        <v>5824663</v>
      </c>
      <c r="AG14" s="5" t="s">
        <v>697</v>
      </c>
      <c r="AH14" s="5" t="s">
        <v>697</v>
      </c>
      <c r="AI14" s="5" t="s">
        <v>697</v>
      </c>
      <c r="AJ14" s="5" t="s">
        <v>697</v>
      </c>
      <c r="AK14" s="5" t="s">
        <v>697</v>
      </c>
      <c r="AL14" s="2" t="s">
        <v>697</v>
      </c>
      <c r="AM14" s="6">
        <v>9.2200000000000006</v>
      </c>
      <c r="AN14" s="2" t="s">
        <v>697</v>
      </c>
      <c r="AO14" s="2" t="s">
        <v>697</v>
      </c>
      <c r="AP14" s="2" t="s">
        <v>697</v>
      </c>
      <c r="AQ14" s="2" t="s">
        <v>697</v>
      </c>
      <c r="AR14" s="2" t="s">
        <v>697</v>
      </c>
      <c r="AS14" s="2" t="s">
        <v>697</v>
      </c>
      <c r="AT14" s="2" t="s">
        <v>697</v>
      </c>
      <c r="AU14" s="2" t="s">
        <v>697</v>
      </c>
      <c r="AV14" s="2" t="s">
        <v>697</v>
      </c>
      <c r="AW14" s="2" t="s">
        <v>697</v>
      </c>
      <c r="AX14" s="2" t="s">
        <v>697</v>
      </c>
      <c r="AY14" s="2" t="s">
        <v>697</v>
      </c>
      <c r="AZ14" s="2" t="s">
        <v>697</v>
      </c>
      <c r="BA14" s="2" t="s">
        <v>701</v>
      </c>
      <c r="BB14" s="2">
        <v>2018</v>
      </c>
      <c r="BC14" s="2" t="s">
        <v>751</v>
      </c>
      <c r="BD14" s="2" t="s">
        <v>701</v>
      </c>
      <c r="BE14" s="2" t="s">
        <v>697</v>
      </c>
      <c r="BF14" s="2" t="s">
        <v>697</v>
      </c>
      <c r="BG14" s="2" t="s">
        <v>697</v>
      </c>
      <c r="BH14" s="2" t="s">
        <v>697</v>
      </c>
      <c r="BI14" s="2" t="s">
        <v>697</v>
      </c>
      <c r="BJ14" s="2" t="s">
        <v>697</v>
      </c>
      <c r="BK14" s="8">
        <v>0.48620000000000002</v>
      </c>
      <c r="BL14" s="2" t="s">
        <v>697</v>
      </c>
      <c r="BM14" s="2" t="s">
        <v>697</v>
      </c>
      <c r="BN14" s="2" t="s">
        <v>697</v>
      </c>
      <c r="BO14" s="2" t="s">
        <v>697</v>
      </c>
      <c r="BP14" s="2" t="s">
        <v>697</v>
      </c>
      <c r="BQ14" s="2" t="s">
        <v>697</v>
      </c>
      <c r="BR14" s="8">
        <v>0.51380000000000003</v>
      </c>
      <c r="BS14" s="2" t="s">
        <v>697</v>
      </c>
      <c r="BT14" s="2" t="s">
        <v>697</v>
      </c>
      <c r="BU14" s="2" t="s">
        <v>697</v>
      </c>
      <c r="BV14" s="2" t="s">
        <v>697</v>
      </c>
      <c r="BW14" s="2" t="s">
        <v>697</v>
      </c>
      <c r="BX14" s="2" t="s">
        <v>697</v>
      </c>
      <c r="BY14" s="2" t="s">
        <v>798</v>
      </c>
      <c r="BZ14" s="9">
        <v>5.8</v>
      </c>
      <c r="CA14" s="9">
        <v>5.45</v>
      </c>
      <c r="CB14" s="2" t="s">
        <v>799</v>
      </c>
      <c r="CC14" s="9">
        <v>4.5</v>
      </c>
      <c r="CD14" s="9">
        <v>4.25</v>
      </c>
      <c r="CE14" s="2" t="s">
        <v>800</v>
      </c>
      <c r="CF14" s="9">
        <v>4.3499999999999996</v>
      </c>
      <c r="CG14" s="9">
        <v>4.0999999999999996</v>
      </c>
      <c r="CH14" s="10">
        <v>43856</v>
      </c>
      <c r="CI14" s="2" t="s">
        <v>697</v>
      </c>
      <c r="CJ14" s="2" t="s">
        <v>697</v>
      </c>
      <c r="CK14" s="2" t="s">
        <v>697</v>
      </c>
      <c r="CL14" s="2" t="s">
        <v>697</v>
      </c>
      <c r="CM14" s="2" t="s">
        <v>697</v>
      </c>
      <c r="CN14" s="2" t="s">
        <v>697</v>
      </c>
      <c r="CO14" s="2" t="s">
        <v>697</v>
      </c>
      <c r="CP14" s="2" t="s">
        <v>697</v>
      </c>
      <c r="CQ14" s="2" t="s">
        <v>697</v>
      </c>
      <c r="CR14" s="2" t="s">
        <v>697</v>
      </c>
      <c r="CS14" s="2" t="s">
        <v>697</v>
      </c>
      <c r="CT14" s="2" t="s">
        <v>697</v>
      </c>
      <c r="CU14" s="2" t="s">
        <v>697</v>
      </c>
      <c r="CV14" s="2" t="s">
        <v>697</v>
      </c>
      <c r="CW14" s="2" t="s">
        <v>697</v>
      </c>
      <c r="CX14" s="2" t="s">
        <v>697</v>
      </c>
      <c r="CY14" s="2" t="s">
        <v>697</v>
      </c>
      <c r="CZ14" s="2" t="s">
        <v>697</v>
      </c>
      <c r="DA14" s="2" t="s">
        <v>709</v>
      </c>
      <c r="DB14" s="2" t="s">
        <v>697</v>
      </c>
      <c r="DC14" s="9">
        <v>31375964</v>
      </c>
      <c r="DD14" s="9">
        <v>1739090</v>
      </c>
      <c r="DE14" s="9">
        <v>0</v>
      </c>
      <c r="DF14" s="9">
        <v>0</v>
      </c>
      <c r="DG14" s="2" t="s">
        <v>697</v>
      </c>
      <c r="DH14" s="2" t="s">
        <v>697</v>
      </c>
      <c r="DI14" s="2" t="s">
        <v>697</v>
      </c>
      <c r="DJ14" s="2" t="s">
        <v>697</v>
      </c>
      <c r="DK14" s="2" t="s">
        <v>697</v>
      </c>
      <c r="DL14" s="2" t="s">
        <v>697</v>
      </c>
      <c r="DM14" s="2" t="s">
        <v>697</v>
      </c>
      <c r="DN14" s="2" t="s">
        <v>697</v>
      </c>
      <c r="DO14" s="2" t="s">
        <v>697</v>
      </c>
      <c r="DP14" s="2" t="s">
        <v>697</v>
      </c>
      <c r="DQ14" s="2" t="s">
        <v>697</v>
      </c>
      <c r="DR14" s="2" t="s">
        <v>697</v>
      </c>
      <c r="DS14" s="2" t="s">
        <v>697</v>
      </c>
      <c r="DT14" s="2" t="s">
        <v>697</v>
      </c>
      <c r="DU14" s="2" t="s">
        <v>697</v>
      </c>
      <c r="DV14" s="2" t="s">
        <v>697</v>
      </c>
      <c r="DW14" s="2" t="s">
        <v>697</v>
      </c>
      <c r="DX14" s="2" t="s">
        <v>697</v>
      </c>
      <c r="DY14" s="2" t="s">
        <v>697</v>
      </c>
      <c r="DZ14" s="2" t="s">
        <v>697</v>
      </c>
      <c r="EA14" s="2" t="s">
        <v>697</v>
      </c>
      <c r="EB14" s="2" t="s">
        <v>697</v>
      </c>
      <c r="EC14" s="2" t="s">
        <v>697</v>
      </c>
      <c r="ED14" s="2" t="s">
        <v>697</v>
      </c>
      <c r="EE14" s="2" t="s">
        <v>761</v>
      </c>
      <c r="EF14" s="2" t="s">
        <v>697</v>
      </c>
      <c r="EG14" s="8" t="s">
        <v>697</v>
      </c>
      <c r="EH14" s="2" t="s">
        <v>697</v>
      </c>
      <c r="EI14" s="2" t="s">
        <v>697</v>
      </c>
      <c r="EJ14" s="12">
        <v>0.02</v>
      </c>
      <c r="EK14" s="2" t="s">
        <v>794</v>
      </c>
      <c r="EL14" s="2" t="s">
        <v>697</v>
      </c>
      <c r="EM14" s="2" t="s">
        <v>697</v>
      </c>
      <c r="EN14" s="2" t="s">
        <v>697</v>
      </c>
      <c r="EO14" s="2" t="s">
        <v>697</v>
      </c>
      <c r="EP14" s="2" t="s">
        <v>697</v>
      </c>
      <c r="EQ14" s="2" t="s">
        <v>697</v>
      </c>
      <c r="ER14" s="2" t="s">
        <v>697</v>
      </c>
      <c r="ES14" s="2" t="s">
        <v>697</v>
      </c>
      <c r="ET14" s="2" t="s">
        <v>697</v>
      </c>
      <c r="EU14" s="2" t="s">
        <v>697</v>
      </c>
      <c r="EV14" s="2" t="s">
        <v>697</v>
      </c>
      <c r="EW14" s="2" t="s">
        <v>697</v>
      </c>
      <c r="EX14" s="2" t="s">
        <v>697</v>
      </c>
      <c r="EY14" s="2" t="s">
        <v>697</v>
      </c>
      <c r="EZ14" s="2" t="s">
        <v>697</v>
      </c>
      <c r="FA14" s="2" t="s">
        <v>697</v>
      </c>
      <c r="FB14" s="2" t="s">
        <v>697</v>
      </c>
      <c r="FC14" s="2" t="s">
        <v>697</v>
      </c>
      <c r="FD14" s="2" t="s">
        <v>697</v>
      </c>
      <c r="FE14" s="2" t="s">
        <v>697</v>
      </c>
      <c r="FF14" s="2" t="s">
        <v>697</v>
      </c>
      <c r="FG14" s="2" t="s">
        <v>697</v>
      </c>
      <c r="FH14" s="2" t="s">
        <v>697</v>
      </c>
      <c r="FI14" s="2" t="s">
        <v>697</v>
      </c>
      <c r="FJ14" s="2" t="s">
        <v>697</v>
      </c>
      <c r="FK14" s="2" t="s">
        <v>697</v>
      </c>
      <c r="FL14" s="2" t="s">
        <v>697</v>
      </c>
      <c r="FM14" s="2" t="s">
        <v>697</v>
      </c>
      <c r="FN14" s="2" t="s">
        <v>697</v>
      </c>
      <c r="FO14" s="2" t="s">
        <v>697</v>
      </c>
      <c r="FP14" s="2" t="s">
        <v>697</v>
      </c>
      <c r="FQ14" s="2" t="s">
        <v>697</v>
      </c>
      <c r="FR14" s="2" t="s">
        <v>697</v>
      </c>
      <c r="FS14" s="2" t="s">
        <v>697</v>
      </c>
      <c r="FT14" s="2" t="s">
        <v>697</v>
      </c>
      <c r="FU14" s="2" t="s">
        <v>697</v>
      </c>
      <c r="FV14" s="2" t="s">
        <v>697</v>
      </c>
      <c r="FW14" s="2" t="s">
        <v>697</v>
      </c>
      <c r="FX14" s="2" t="s">
        <v>697</v>
      </c>
      <c r="FY14" s="2" t="s">
        <v>697</v>
      </c>
      <c r="FZ14" s="2" t="s">
        <v>697</v>
      </c>
      <c r="GA14" s="2" t="s">
        <v>697</v>
      </c>
      <c r="GB14" s="5">
        <v>5519532</v>
      </c>
      <c r="GC14" s="5">
        <v>1750805</v>
      </c>
      <c r="GD14" s="5">
        <v>102577</v>
      </c>
      <c r="GE14" s="47">
        <v>139626</v>
      </c>
      <c r="GF14" s="5">
        <v>719798</v>
      </c>
      <c r="GG14" s="5">
        <v>5138627</v>
      </c>
      <c r="GH14" s="13" t="s">
        <v>697</v>
      </c>
      <c r="GI14" s="13" t="s">
        <v>697</v>
      </c>
      <c r="GJ14" s="13" t="s">
        <v>697</v>
      </c>
      <c r="GK14" s="13" t="s">
        <v>697</v>
      </c>
      <c r="GL14" s="13" t="s">
        <v>697</v>
      </c>
      <c r="GM14" s="13" t="s">
        <v>697</v>
      </c>
      <c r="GN14" s="13" t="s">
        <v>697</v>
      </c>
      <c r="GO14" s="13" t="s">
        <v>697</v>
      </c>
      <c r="GP14" s="13" t="s">
        <v>697</v>
      </c>
      <c r="GQ14" s="13" t="s">
        <v>697</v>
      </c>
      <c r="GR14" s="13" t="s">
        <v>697</v>
      </c>
      <c r="GS14" s="13" t="s">
        <v>697</v>
      </c>
      <c r="GT14" s="13" t="s">
        <v>697</v>
      </c>
      <c r="GU14" s="13" t="s">
        <v>697</v>
      </c>
      <c r="GV14" s="13" t="s">
        <v>697</v>
      </c>
      <c r="GW14" s="13" t="s">
        <v>697</v>
      </c>
      <c r="GX14" s="13" t="s">
        <v>697</v>
      </c>
      <c r="GY14" s="13" t="s">
        <v>697</v>
      </c>
      <c r="GZ14" s="13" t="s">
        <v>697</v>
      </c>
      <c r="HA14" s="13" t="s">
        <v>697</v>
      </c>
      <c r="HB14" s="13" t="s">
        <v>697</v>
      </c>
      <c r="HC14" s="13" t="s">
        <v>697</v>
      </c>
      <c r="HD14" s="13" t="s">
        <v>697</v>
      </c>
      <c r="HE14" s="13" t="s">
        <v>697</v>
      </c>
      <c r="HF14" s="2" t="s">
        <v>697</v>
      </c>
      <c r="HG14" s="2" t="s">
        <v>697</v>
      </c>
      <c r="HH14" s="2" t="s">
        <v>697</v>
      </c>
      <c r="HI14" s="2" t="s">
        <v>697</v>
      </c>
      <c r="HJ14" s="2" t="s">
        <v>697</v>
      </c>
      <c r="HK14" s="2" t="s">
        <v>697</v>
      </c>
      <c r="HL14" s="2" t="s">
        <v>697</v>
      </c>
      <c r="HM14" s="2" t="s">
        <v>697</v>
      </c>
      <c r="HN14" s="2" t="s">
        <v>697</v>
      </c>
      <c r="HO14" s="2" t="s">
        <v>697</v>
      </c>
      <c r="HP14" s="2" t="s">
        <v>697</v>
      </c>
      <c r="HQ14" s="2" t="s">
        <v>697</v>
      </c>
      <c r="HR14" s="2" t="s">
        <v>764</v>
      </c>
      <c r="HS14" s="12">
        <v>1</v>
      </c>
      <c r="HT14" s="2" t="s">
        <v>765</v>
      </c>
      <c r="HU14" s="12">
        <v>1</v>
      </c>
      <c r="HV14" s="12">
        <v>1</v>
      </c>
      <c r="HW14" s="12">
        <v>0.5</v>
      </c>
      <c r="HX14" s="12">
        <v>0.5</v>
      </c>
      <c r="HY14" s="2" t="s">
        <v>701</v>
      </c>
      <c r="HZ14" s="8">
        <v>0.48702000000000001</v>
      </c>
      <c r="IA14" s="8">
        <v>7.0400000000000004E-2</v>
      </c>
      <c r="IB14" s="8">
        <v>0.20182</v>
      </c>
      <c r="IC14" s="8">
        <v>3.1E-2</v>
      </c>
      <c r="ID14" s="8">
        <v>5.0599999999999999E-2</v>
      </c>
      <c r="IE14" s="8">
        <v>7.0000000000000007E-2</v>
      </c>
      <c r="IF14" s="12">
        <v>0.02</v>
      </c>
      <c r="IG14" s="8">
        <v>6.9110000000000005E-2</v>
      </c>
      <c r="IH14" s="12">
        <v>0</v>
      </c>
      <c r="II14" s="2" t="s">
        <v>697</v>
      </c>
      <c r="IJ14" s="2" t="s">
        <v>697</v>
      </c>
      <c r="IK14" s="2" t="s">
        <v>697</v>
      </c>
      <c r="IL14" s="2" t="s">
        <v>697</v>
      </c>
      <c r="IM14" s="2" t="s">
        <v>697</v>
      </c>
      <c r="IN14" s="2" t="s">
        <v>697</v>
      </c>
      <c r="IO14" s="2" t="s">
        <v>697</v>
      </c>
      <c r="IP14" s="2" t="s">
        <v>697</v>
      </c>
      <c r="IQ14" s="2" t="s">
        <v>697</v>
      </c>
      <c r="IR14" s="2" t="s">
        <v>697</v>
      </c>
      <c r="IS14" s="2" t="s">
        <v>697</v>
      </c>
      <c r="IT14" s="2" t="s">
        <v>697</v>
      </c>
      <c r="IU14" s="2" t="s">
        <v>697</v>
      </c>
      <c r="IV14" s="2" t="s">
        <v>697</v>
      </c>
      <c r="IW14" s="2" t="s">
        <v>697</v>
      </c>
      <c r="IX14" s="2" t="s">
        <v>697</v>
      </c>
      <c r="IY14" s="2" t="s">
        <v>697</v>
      </c>
      <c r="IZ14" s="2" t="s">
        <v>697</v>
      </c>
      <c r="JA14" s="2" t="s">
        <v>697</v>
      </c>
      <c r="JB14" s="2" t="s">
        <v>697</v>
      </c>
      <c r="JC14" s="2" t="s">
        <v>697</v>
      </c>
      <c r="JD14" s="2" t="s">
        <v>697</v>
      </c>
      <c r="JE14" s="2" t="s">
        <v>697</v>
      </c>
      <c r="JF14" s="2" t="s">
        <v>697</v>
      </c>
      <c r="JG14" s="2" t="s">
        <v>697</v>
      </c>
      <c r="JH14" s="2" t="s">
        <v>697</v>
      </c>
      <c r="JI14" s="2" t="s">
        <v>697</v>
      </c>
      <c r="JJ14" s="2" t="s">
        <v>697</v>
      </c>
      <c r="JK14" s="2" t="s">
        <v>697</v>
      </c>
      <c r="JL14" s="2" t="s">
        <v>697</v>
      </c>
      <c r="JM14" s="2" t="s">
        <v>697</v>
      </c>
      <c r="JN14" s="2" t="s">
        <v>697</v>
      </c>
      <c r="JO14" s="2" t="s">
        <v>697</v>
      </c>
      <c r="JP14" s="2" t="s">
        <v>697</v>
      </c>
      <c r="JQ14" s="2" t="s">
        <v>697</v>
      </c>
      <c r="JR14" s="2" t="s">
        <v>697</v>
      </c>
      <c r="JS14" s="2" t="s">
        <v>697</v>
      </c>
      <c r="JT14" s="2" t="s">
        <v>697</v>
      </c>
      <c r="JU14" s="2" t="s">
        <v>697</v>
      </c>
      <c r="JV14" s="2" t="s">
        <v>697</v>
      </c>
      <c r="JW14" s="2" t="s">
        <v>697</v>
      </c>
      <c r="JX14" s="2" t="s">
        <v>697</v>
      </c>
      <c r="JY14" s="2" t="s">
        <v>697</v>
      </c>
      <c r="JZ14" s="2" t="s">
        <v>697</v>
      </c>
      <c r="KA14" s="2" t="s">
        <v>697</v>
      </c>
      <c r="KB14" s="2" t="s">
        <v>697</v>
      </c>
      <c r="KC14" s="2" t="s">
        <v>697</v>
      </c>
      <c r="KD14" s="2" t="s">
        <v>697</v>
      </c>
      <c r="KE14" s="2" t="s">
        <v>697</v>
      </c>
      <c r="KF14" s="2" t="s">
        <v>697</v>
      </c>
      <c r="KG14" s="2" t="s">
        <v>697</v>
      </c>
      <c r="KH14" s="2" t="s">
        <v>697</v>
      </c>
      <c r="KI14" s="2" t="s">
        <v>697</v>
      </c>
      <c r="KJ14" s="2" t="s">
        <v>697</v>
      </c>
      <c r="KK14" s="2" t="s">
        <v>697</v>
      </c>
      <c r="KL14" s="2" t="s">
        <v>697</v>
      </c>
      <c r="KM14" s="2" t="s">
        <v>697</v>
      </c>
      <c r="KN14" s="2" t="s">
        <v>697</v>
      </c>
      <c r="KO14" s="2" t="s">
        <v>697</v>
      </c>
      <c r="KP14" s="2" t="s">
        <v>697</v>
      </c>
      <c r="KQ14" s="2" t="s">
        <v>697</v>
      </c>
      <c r="KR14" s="2" t="s">
        <v>697</v>
      </c>
      <c r="KS14" s="2" t="s">
        <v>697</v>
      </c>
      <c r="KT14" s="2" t="s">
        <v>697</v>
      </c>
      <c r="KU14" s="2" t="s">
        <v>697</v>
      </c>
      <c r="KV14" s="2" t="s">
        <v>697</v>
      </c>
      <c r="KW14" s="2" t="s">
        <v>697</v>
      </c>
      <c r="KX14" s="2" t="s">
        <v>697</v>
      </c>
      <c r="KY14" s="2" t="s">
        <v>697</v>
      </c>
      <c r="KZ14" s="2" t="s">
        <v>697</v>
      </c>
      <c r="LA14" s="2" t="s">
        <v>697</v>
      </c>
      <c r="LB14" s="2" t="s">
        <v>697</v>
      </c>
      <c r="LC14" s="2" t="s">
        <v>697</v>
      </c>
      <c r="LD14" s="2" t="s">
        <v>697</v>
      </c>
      <c r="LE14" s="2" t="s">
        <v>697</v>
      </c>
      <c r="LF14" s="2" t="s">
        <v>709</v>
      </c>
      <c r="LG14" s="2" t="s">
        <v>697</v>
      </c>
      <c r="LH14" s="2" t="s">
        <v>701</v>
      </c>
      <c r="LI14" s="3" t="s">
        <v>767</v>
      </c>
      <c r="LJ14" s="2" t="s">
        <v>709</v>
      </c>
      <c r="LK14" s="2" t="s">
        <v>697</v>
      </c>
      <c r="LL14" s="2" t="s">
        <v>697</v>
      </c>
      <c r="LM14" s="2" t="s">
        <v>697</v>
      </c>
      <c r="LN14" s="2" t="s">
        <v>697</v>
      </c>
      <c r="LO14" s="2" t="s">
        <v>697</v>
      </c>
      <c r="LP14" s="2" t="s">
        <v>697</v>
      </c>
      <c r="LQ14" s="2" t="s">
        <v>697</v>
      </c>
      <c r="LR14" s="2" t="s">
        <v>697</v>
      </c>
      <c r="LS14" s="2" t="s">
        <v>697</v>
      </c>
      <c r="LT14" s="2" t="s">
        <v>697</v>
      </c>
      <c r="LU14" s="2" t="s">
        <v>697</v>
      </c>
      <c r="LV14" s="2" t="s">
        <v>697</v>
      </c>
      <c r="LW14" s="2" t="s">
        <v>697</v>
      </c>
      <c r="LX14" s="2" t="s">
        <v>709</v>
      </c>
      <c r="LY14" s="2" t="s">
        <v>697</v>
      </c>
      <c r="LZ14" s="2" t="s">
        <v>697</v>
      </c>
      <c r="MA14" s="2" t="s">
        <v>697</v>
      </c>
      <c r="MB14" s="2" t="s">
        <v>697</v>
      </c>
      <c r="MC14" s="2" t="s">
        <v>697</v>
      </c>
      <c r="MD14" s="2" t="s">
        <v>697</v>
      </c>
      <c r="ME14" s="2" t="s">
        <v>769</v>
      </c>
      <c r="MF14" s="2" t="s">
        <v>711</v>
      </c>
      <c r="MG14" s="17" t="s">
        <v>796</v>
      </c>
      <c r="MH14" s="2" t="s">
        <v>709</v>
      </c>
      <c r="MI14" s="2" t="s">
        <v>697</v>
      </c>
      <c r="MJ14" s="2" t="s">
        <v>697</v>
      </c>
      <c r="MK14" s="2" t="s">
        <v>801</v>
      </c>
      <c r="ML14" s="17" t="s">
        <v>789</v>
      </c>
      <c r="MM14" s="2" t="s">
        <v>782</v>
      </c>
    </row>
    <row r="15" spans="1:351" ht="65.25" customHeight="1" x14ac:dyDescent="0.25">
      <c r="A15" s="15">
        <v>3505</v>
      </c>
      <c r="B15" s="15" t="s">
        <v>802</v>
      </c>
      <c r="C15" s="27" t="s">
        <v>790</v>
      </c>
      <c r="D15" s="55">
        <v>2599218</v>
      </c>
      <c r="E15" s="27" t="s">
        <v>700</v>
      </c>
      <c r="F15" s="2">
        <v>0</v>
      </c>
      <c r="G15" s="2">
        <v>0</v>
      </c>
      <c r="H15" s="2">
        <v>0</v>
      </c>
      <c r="I15" s="2" t="s">
        <v>697</v>
      </c>
      <c r="J15" s="2" t="s">
        <v>697</v>
      </c>
      <c r="K15" s="2" t="s">
        <v>697</v>
      </c>
      <c r="L15" s="2" t="s">
        <v>701</v>
      </c>
      <c r="M15" s="39" t="s">
        <v>777</v>
      </c>
      <c r="N15" s="2">
        <v>405</v>
      </c>
      <c r="O15" s="2">
        <v>60</v>
      </c>
      <c r="P15" s="2">
        <v>0</v>
      </c>
      <c r="Q15" s="2" t="s">
        <v>697</v>
      </c>
      <c r="R15" s="2">
        <v>194</v>
      </c>
      <c r="S15" s="2">
        <v>81</v>
      </c>
      <c r="T15" s="2" t="s">
        <v>697</v>
      </c>
      <c r="U15" s="2" t="s">
        <v>697</v>
      </c>
      <c r="V15" s="2" t="s">
        <v>697</v>
      </c>
      <c r="W15" s="2" t="s">
        <v>697</v>
      </c>
      <c r="X15" s="2" t="s">
        <v>697</v>
      </c>
      <c r="Y15" s="2" t="s">
        <v>697</v>
      </c>
      <c r="Z15" s="2" t="s">
        <v>697</v>
      </c>
      <c r="AA15" s="2" t="s">
        <v>697</v>
      </c>
      <c r="AB15" s="2" t="s">
        <v>697</v>
      </c>
      <c r="AC15" s="2" t="s">
        <v>697</v>
      </c>
      <c r="AD15" s="2" t="s">
        <v>697</v>
      </c>
      <c r="AE15" s="2" t="s">
        <v>697</v>
      </c>
      <c r="AF15" s="5">
        <v>14256262</v>
      </c>
      <c r="AG15" s="5" t="s">
        <v>697</v>
      </c>
      <c r="AH15" s="5" t="s">
        <v>697</v>
      </c>
      <c r="AI15" s="5" t="s">
        <v>697</v>
      </c>
      <c r="AJ15" s="5" t="s">
        <v>697</v>
      </c>
      <c r="AK15" s="5" t="s">
        <v>697</v>
      </c>
      <c r="AL15" s="2" t="s">
        <v>697</v>
      </c>
      <c r="AM15" s="6">
        <v>5.38</v>
      </c>
      <c r="AN15" s="2" t="s">
        <v>697</v>
      </c>
      <c r="AO15" s="2" t="s">
        <v>697</v>
      </c>
      <c r="AP15" s="2" t="s">
        <v>697</v>
      </c>
      <c r="AQ15" s="2" t="s">
        <v>697</v>
      </c>
      <c r="AR15" s="2" t="s">
        <v>697</v>
      </c>
      <c r="AS15" s="2" t="s">
        <v>697</v>
      </c>
      <c r="AT15" s="2" t="s">
        <v>697</v>
      </c>
      <c r="AU15" s="2" t="s">
        <v>697</v>
      </c>
      <c r="AV15" s="2" t="s">
        <v>697</v>
      </c>
      <c r="AW15" s="2" t="s">
        <v>697</v>
      </c>
      <c r="AX15" s="2" t="s">
        <v>697</v>
      </c>
      <c r="AY15" s="2" t="s">
        <v>697</v>
      </c>
      <c r="AZ15" s="2" t="s">
        <v>697</v>
      </c>
      <c r="BA15" s="2" t="s">
        <v>701</v>
      </c>
      <c r="BB15" s="2">
        <v>2018</v>
      </c>
      <c r="BC15" s="2" t="s">
        <v>751</v>
      </c>
      <c r="BD15" s="2" t="s">
        <v>701</v>
      </c>
      <c r="BE15" s="2" t="s">
        <v>697</v>
      </c>
      <c r="BF15" s="2" t="s">
        <v>697</v>
      </c>
      <c r="BG15" s="2" t="s">
        <v>697</v>
      </c>
      <c r="BH15" s="2" t="s">
        <v>697</v>
      </c>
      <c r="BI15" s="2" t="s">
        <v>697</v>
      </c>
      <c r="BJ15" s="2" t="s">
        <v>697</v>
      </c>
      <c r="BK15" s="8">
        <v>0.57969999999999999</v>
      </c>
      <c r="BL15" s="2" t="s">
        <v>697</v>
      </c>
      <c r="BM15" s="2" t="s">
        <v>697</v>
      </c>
      <c r="BN15" s="2" t="s">
        <v>697</v>
      </c>
      <c r="BO15" s="2" t="s">
        <v>697</v>
      </c>
      <c r="BP15" s="2" t="s">
        <v>697</v>
      </c>
      <c r="BQ15" s="2" t="s">
        <v>697</v>
      </c>
      <c r="BR15" s="8">
        <v>0.42030000000000001</v>
      </c>
      <c r="BS15" s="2" t="s">
        <v>697</v>
      </c>
      <c r="BT15" s="2" t="s">
        <v>697</v>
      </c>
      <c r="BU15" s="2" t="s">
        <v>697</v>
      </c>
      <c r="BV15" s="2" t="s">
        <v>697</v>
      </c>
      <c r="BW15" s="2" t="s">
        <v>697</v>
      </c>
      <c r="BX15" s="2" t="s">
        <v>697</v>
      </c>
      <c r="BY15" s="2" t="s">
        <v>791</v>
      </c>
      <c r="BZ15" s="9">
        <v>5.05</v>
      </c>
      <c r="CA15" s="9">
        <v>4.7</v>
      </c>
      <c r="CB15" s="2" t="s">
        <v>792</v>
      </c>
      <c r="CC15" s="9">
        <v>5.9</v>
      </c>
      <c r="CD15" s="9">
        <v>5.5</v>
      </c>
      <c r="CE15" s="2" t="s">
        <v>793</v>
      </c>
      <c r="CF15" s="9">
        <v>4.7</v>
      </c>
      <c r="CG15" s="9">
        <v>4.4000000000000004</v>
      </c>
      <c r="CH15" s="10">
        <v>43856</v>
      </c>
      <c r="CI15" s="2" t="s">
        <v>697</v>
      </c>
      <c r="CJ15" s="2" t="s">
        <v>697</v>
      </c>
      <c r="CK15" s="2" t="s">
        <v>697</v>
      </c>
      <c r="CL15" s="2" t="s">
        <v>697</v>
      </c>
      <c r="CM15" s="2" t="s">
        <v>697</v>
      </c>
      <c r="CN15" s="2" t="s">
        <v>697</v>
      </c>
      <c r="CO15" s="2" t="s">
        <v>697</v>
      </c>
      <c r="CP15" s="2" t="s">
        <v>697</v>
      </c>
      <c r="CQ15" s="2" t="s">
        <v>697</v>
      </c>
      <c r="CR15" s="2" t="s">
        <v>697</v>
      </c>
      <c r="CS15" s="2" t="s">
        <v>697</v>
      </c>
      <c r="CT15" s="2" t="s">
        <v>697</v>
      </c>
      <c r="CU15" s="2" t="s">
        <v>697</v>
      </c>
      <c r="CV15" s="2" t="s">
        <v>697</v>
      </c>
      <c r="CW15" s="2" t="s">
        <v>697</v>
      </c>
      <c r="CX15" s="2" t="s">
        <v>697</v>
      </c>
      <c r="CY15" s="2" t="s">
        <v>697</v>
      </c>
      <c r="CZ15" s="2" t="s">
        <v>697</v>
      </c>
      <c r="DA15" s="2" t="s">
        <v>709</v>
      </c>
      <c r="DB15" s="2" t="s">
        <v>697</v>
      </c>
      <c r="DC15" s="9">
        <v>65161370</v>
      </c>
      <c r="DD15" s="9">
        <v>2971988</v>
      </c>
      <c r="DE15" s="9">
        <v>0</v>
      </c>
      <c r="DF15" s="9">
        <v>0</v>
      </c>
      <c r="DG15" s="2" t="s">
        <v>697</v>
      </c>
      <c r="DH15" s="2" t="s">
        <v>697</v>
      </c>
      <c r="DI15" s="2" t="s">
        <v>697</v>
      </c>
      <c r="DJ15" s="2" t="s">
        <v>697</v>
      </c>
      <c r="DK15" s="2" t="s">
        <v>697</v>
      </c>
      <c r="DL15" s="2" t="s">
        <v>697</v>
      </c>
      <c r="DM15" s="2" t="s">
        <v>697</v>
      </c>
      <c r="DN15" s="2" t="s">
        <v>697</v>
      </c>
      <c r="DO15" s="2" t="s">
        <v>697</v>
      </c>
      <c r="DP15" s="2" t="s">
        <v>697</v>
      </c>
      <c r="DQ15" s="2" t="s">
        <v>697</v>
      </c>
      <c r="DR15" s="2" t="s">
        <v>697</v>
      </c>
      <c r="DS15" s="2" t="s">
        <v>697</v>
      </c>
      <c r="DT15" s="2" t="s">
        <v>697</v>
      </c>
      <c r="DU15" s="2" t="s">
        <v>697</v>
      </c>
      <c r="DV15" s="2" t="s">
        <v>697</v>
      </c>
      <c r="DW15" s="2" t="s">
        <v>697</v>
      </c>
      <c r="DX15" s="2" t="s">
        <v>697</v>
      </c>
      <c r="DY15" s="2" t="s">
        <v>697</v>
      </c>
      <c r="DZ15" s="2" t="s">
        <v>697</v>
      </c>
      <c r="EA15" s="2" t="s">
        <v>697</v>
      </c>
      <c r="EB15" s="2" t="s">
        <v>697</v>
      </c>
      <c r="EC15" s="2" t="s">
        <v>697</v>
      </c>
      <c r="ED15" s="2" t="s">
        <v>697</v>
      </c>
      <c r="EE15" s="2" t="s">
        <v>761</v>
      </c>
      <c r="EF15" s="2" t="s">
        <v>697</v>
      </c>
      <c r="EG15" s="8" t="s">
        <v>697</v>
      </c>
      <c r="EH15" s="2" t="s">
        <v>697</v>
      </c>
      <c r="EI15" s="2" t="s">
        <v>697</v>
      </c>
      <c r="EJ15" s="12">
        <v>0.02</v>
      </c>
      <c r="EK15" s="2" t="s">
        <v>794</v>
      </c>
      <c r="EL15" s="2" t="s">
        <v>697</v>
      </c>
      <c r="EM15" s="2" t="s">
        <v>697</v>
      </c>
      <c r="EN15" s="2" t="s">
        <v>697</v>
      </c>
      <c r="EO15" s="2" t="s">
        <v>697</v>
      </c>
      <c r="EP15" s="2" t="s">
        <v>697</v>
      </c>
      <c r="EQ15" s="2" t="s">
        <v>697</v>
      </c>
      <c r="ER15" s="2" t="s">
        <v>697</v>
      </c>
      <c r="ES15" s="2" t="s">
        <v>697</v>
      </c>
      <c r="ET15" s="2" t="s">
        <v>697</v>
      </c>
      <c r="EU15" s="2" t="s">
        <v>697</v>
      </c>
      <c r="EV15" s="2" t="s">
        <v>697</v>
      </c>
      <c r="EW15" s="2" t="s">
        <v>697</v>
      </c>
      <c r="EX15" s="2" t="s">
        <v>697</v>
      </c>
      <c r="EY15" s="2" t="s">
        <v>697</v>
      </c>
      <c r="EZ15" s="2" t="s">
        <v>697</v>
      </c>
      <c r="FA15" s="2" t="s">
        <v>697</v>
      </c>
      <c r="FB15" s="2" t="s">
        <v>697</v>
      </c>
      <c r="FC15" s="2" t="s">
        <v>697</v>
      </c>
      <c r="FD15" s="2" t="s">
        <v>697</v>
      </c>
      <c r="FE15" s="2" t="s">
        <v>697</v>
      </c>
      <c r="FF15" s="2" t="s">
        <v>697</v>
      </c>
      <c r="FG15" s="2" t="s">
        <v>697</v>
      </c>
      <c r="FH15" s="2" t="s">
        <v>697</v>
      </c>
      <c r="FI15" s="2" t="s">
        <v>697</v>
      </c>
      <c r="FJ15" s="2" t="s">
        <v>697</v>
      </c>
      <c r="FK15" s="2" t="s">
        <v>697</v>
      </c>
      <c r="FL15" s="2" t="s">
        <v>697</v>
      </c>
      <c r="FM15" s="2" t="s">
        <v>697</v>
      </c>
      <c r="FN15" s="2" t="s">
        <v>697</v>
      </c>
      <c r="FO15" s="2" t="s">
        <v>697</v>
      </c>
      <c r="FP15" s="2" t="s">
        <v>697</v>
      </c>
      <c r="FQ15" s="2" t="s">
        <v>697</v>
      </c>
      <c r="FR15" s="2" t="s">
        <v>697</v>
      </c>
      <c r="FS15" s="2" t="s">
        <v>697</v>
      </c>
      <c r="FT15" s="2" t="s">
        <v>697</v>
      </c>
      <c r="FU15" s="2" t="s">
        <v>697</v>
      </c>
      <c r="FV15" s="2" t="s">
        <v>697</v>
      </c>
      <c r="FW15" s="2" t="s">
        <v>697</v>
      </c>
      <c r="FX15" s="2" t="s">
        <v>697</v>
      </c>
      <c r="FY15" s="2" t="s">
        <v>697</v>
      </c>
      <c r="FZ15" s="2" t="s">
        <v>697</v>
      </c>
      <c r="GA15" s="2" t="s">
        <v>697</v>
      </c>
      <c r="GB15" s="5">
        <v>10439116</v>
      </c>
      <c r="GC15" s="5">
        <v>3202593</v>
      </c>
      <c r="GD15" s="5">
        <v>92281</v>
      </c>
      <c r="GE15" s="5">
        <v>0</v>
      </c>
      <c r="GF15" s="5">
        <v>1606080</v>
      </c>
      <c r="GG15" s="5">
        <v>9382478</v>
      </c>
      <c r="GH15" s="13" t="s">
        <v>697</v>
      </c>
      <c r="GI15" s="13" t="s">
        <v>697</v>
      </c>
      <c r="GJ15" s="13" t="s">
        <v>697</v>
      </c>
      <c r="GK15" s="13" t="s">
        <v>697</v>
      </c>
      <c r="GL15" s="13" t="s">
        <v>697</v>
      </c>
      <c r="GM15" s="13" t="s">
        <v>697</v>
      </c>
      <c r="GN15" s="13" t="s">
        <v>697</v>
      </c>
      <c r="GO15" s="13" t="s">
        <v>697</v>
      </c>
      <c r="GP15" s="13" t="s">
        <v>697</v>
      </c>
      <c r="GQ15" s="13" t="s">
        <v>697</v>
      </c>
      <c r="GR15" s="13" t="s">
        <v>697</v>
      </c>
      <c r="GS15" s="13" t="s">
        <v>697</v>
      </c>
      <c r="GT15" s="13" t="s">
        <v>697</v>
      </c>
      <c r="GU15" s="13" t="s">
        <v>697</v>
      </c>
      <c r="GV15" s="13" t="s">
        <v>697</v>
      </c>
      <c r="GW15" s="13" t="s">
        <v>697</v>
      </c>
      <c r="GX15" s="13" t="s">
        <v>697</v>
      </c>
      <c r="GY15" s="13" t="s">
        <v>697</v>
      </c>
      <c r="GZ15" s="13" t="s">
        <v>697</v>
      </c>
      <c r="HA15" s="13" t="s">
        <v>697</v>
      </c>
      <c r="HB15" s="13" t="s">
        <v>697</v>
      </c>
      <c r="HC15" s="13" t="s">
        <v>697</v>
      </c>
      <c r="HD15" s="13" t="s">
        <v>697</v>
      </c>
      <c r="HE15" s="13" t="s">
        <v>697</v>
      </c>
      <c r="HF15" s="2" t="s">
        <v>697</v>
      </c>
      <c r="HG15" s="2" t="s">
        <v>697</v>
      </c>
      <c r="HH15" s="2" t="s">
        <v>697</v>
      </c>
      <c r="HI15" s="2" t="s">
        <v>697</v>
      </c>
      <c r="HJ15" s="2" t="s">
        <v>697</v>
      </c>
      <c r="HK15" s="2" t="s">
        <v>697</v>
      </c>
      <c r="HL15" s="2" t="s">
        <v>697</v>
      </c>
      <c r="HM15" s="2" t="s">
        <v>697</v>
      </c>
      <c r="HN15" s="2" t="s">
        <v>697</v>
      </c>
      <c r="HO15" s="2" t="s">
        <v>697</v>
      </c>
      <c r="HP15" s="2" t="s">
        <v>697</v>
      </c>
      <c r="HQ15" s="2" t="s">
        <v>697</v>
      </c>
      <c r="HR15" s="2" t="s">
        <v>764</v>
      </c>
      <c r="HS15" s="12">
        <v>1</v>
      </c>
      <c r="HT15" s="2" t="s">
        <v>765</v>
      </c>
      <c r="HU15" s="12">
        <v>1</v>
      </c>
      <c r="HV15" s="12">
        <v>1</v>
      </c>
      <c r="HW15" s="12">
        <v>0.5</v>
      </c>
      <c r="HX15" s="12">
        <v>0.5</v>
      </c>
      <c r="HY15" s="2" t="s">
        <v>701</v>
      </c>
      <c r="HZ15" s="8">
        <v>0.43609999999999999</v>
      </c>
      <c r="IA15" s="8">
        <v>5.6800000000000003E-2</v>
      </c>
      <c r="IB15" s="8">
        <v>0.23730000000000001</v>
      </c>
      <c r="IC15" s="8">
        <v>8.2000000000000003E-2</v>
      </c>
      <c r="ID15" s="8">
        <v>6.54E-2</v>
      </c>
      <c r="IE15" s="8">
        <v>4.8250000000000001E-2</v>
      </c>
      <c r="IF15" s="12">
        <v>0.02</v>
      </c>
      <c r="IG15" s="8">
        <v>5.4100000000000002E-2</v>
      </c>
      <c r="IH15" s="12">
        <v>0</v>
      </c>
      <c r="II15" s="2" t="s">
        <v>697</v>
      </c>
      <c r="IJ15" s="2" t="s">
        <v>697</v>
      </c>
      <c r="IK15" s="2" t="s">
        <v>697</v>
      </c>
      <c r="IL15" s="2" t="s">
        <v>697</v>
      </c>
      <c r="IM15" s="2" t="s">
        <v>697</v>
      </c>
      <c r="IN15" s="2" t="s">
        <v>697</v>
      </c>
      <c r="IO15" s="2" t="s">
        <v>697</v>
      </c>
      <c r="IP15" s="2" t="s">
        <v>697</v>
      </c>
      <c r="IQ15" s="2" t="s">
        <v>697</v>
      </c>
      <c r="IR15" s="2" t="s">
        <v>697</v>
      </c>
      <c r="IS15" s="2" t="s">
        <v>697</v>
      </c>
      <c r="IT15" s="2" t="s">
        <v>697</v>
      </c>
      <c r="IU15" s="2" t="s">
        <v>697</v>
      </c>
      <c r="IV15" s="2" t="s">
        <v>697</v>
      </c>
      <c r="IW15" s="2" t="s">
        <v>697</v>
      </c>
      <c r="IX15" s="2" t="s">
        <v>697</v>
      </c>
      <c r="IY15" s="2" t="s">
        <v>697</v>
      </c>
      <c r="IZ15" s="2" t="s">
        <v>697</v>
      </c>
      <c r="JA15" s="2" t="s">
        <v>697</v>
      </c>
      <c r="JB15" s="2" t="s">
        <v>697</v>
      </c>
      <c r="JC15" s="2" t="s">
        <v>697</v>
      </c>
      <c r="JD15" s="2" t="s">
        <v>697</v>
      </c>
      <c r="JE15" s="2" t="s">
        <v>697</v>
      </c>
      <c r="JF15" s="2" t="s">
        <v>697</v>
      </c>
      <c r="JG15" s="2" t="s">
        <v>697</v>
      </c>
      <c r="JH15" s="2" t="s">
        <v>697</v>
      </c>
      <c r="JI15" s="2" t="s">
        <v>697</v>
      </c>
      <c r="JJ15" s="2" t="s">
        <v>697</v>
      </c>
      <c r="JK15" s="2" t="s">
        <v>697</v>
      </c>
      <c r="JL15" s="2" t="s">
        <v>697</v>
      </c>
      <c r="JM15" s="2" t="s">
        <v>697</v>
      </c>
      <c r="JN15" s="2" t="s">
        <v>697</v>
      </c>
      <c r="JO15" s="2" t="s">
        <v>697</v>
      </c>
      <c r="JP15" s="2" t="s">
        <v>697</v>
      </c>
      <c r="JQ15" s="2" t="s">
        <v>697</v>
      </c>
      <c r="JR15" s="2" t="s">
        <v>697</v>
      </c>
      <c r="JS15" s="2" t="s">
        <v>697</v>
      </c>
      <c r="JT15" s="2" t="s">
        <v>697</v>
      </c>
      <c r="JU15" s="2" t="s">
        <v>697</v>
      </c>
      <c r="JV15" s="2" t="s">
        <v>697</v>
      </c>
      <c r="JW15" s="2" t="s">
        <v>697</v>
      </c>
      <c r="JX15" s="2" t="s">
        <v>697</v>
      </c>
      <c r="JY15" s="2" t="s">
        <v>697</v>
      </c>
      <c r="JZ15" s="2" t="s">
        <v>697</v>
      </c>
      <c r="KA15" s="2" t="s">
        <v>697</v>
      </c>
      <c r="KB15" s="2" t="s">
        <v>697</v>
      </c>
      <c r="KC15" s="2" t="s">
        <v>697</v>
      </c>
      <c r="KD15" s="2" t="s">
        <v>697</v>
      </c>
      <c r="KE15" s="2" t="s">
        <v>697</v>
      </c>
      <c r="KF15" s="2" t="s">
        <v>697</v>
      </c>
      <c r="KG15" s="2" t="s">
        <v>697</v>
      </c>
      <c r="KH15" s="2" t="s">
        <v>697</v>
      </c>
      <c r="KI15" s="2" t="s">
        <v>697</v>
      </c>
      <c r="KJ15" s="2" t="s">
        <v>697</v>
      </c>
      <c r="KK15" s="2" t="s">
        <v>697</v>
      </c>
      <c r="KL15" s="2" t="s">
        <v>697</v>
      </c>
      <c r="KM15" s="2" t="s">
        <v>697</v>
      </c>
      <c r="KN15" s="2" t="s">
        <v>697</v>
      </c>
      <c r="KO15" s="2" t="s">
        <v>697</v>
      </c>
      <c r="KP15" s="2" t="s">
        <v>697</v>
      </c>
      <c r="KQ15" s="2" t="s">
        <v>697</v>
      </c>
      <c r="KR15" s="2" t="s">
        <v>697</v>
      </c>
      <c r="KS15" s="2" t="s">
        <v>697</v>
      </c>
      <c r="KT15" s="2" t="s">
        <v>697</v>
      </c>
      <c r="KU15" s="2" t="s">
        <v>697</v>
      </c>
      <c r="KV15" s="2" t="s">
        <v>697</v>
      </c>
      <c r="KW15" s="2" t="s">
        <v>697</v>
      </c>
      <c r="KX15" s="2" t="s">
        <v>697</v>
      </c>
      <c r="KY15" s="2" t="s">
        <v>697</v>
      </c>
      <c r="KZ15" s="2" t="s">
        <v>697</v>
      </c>
      <c r="LA15" s="2" t="s">
        <v>697</v>
      </c>
      <c r="LB15" s="2" t="s">
        <v>697</v>
      </c>
      <c r="LC15" s="2" t="s">
        <v>697</v>
      </c>
      <c r="LD15" s="2" t="s">
        <v>697</v>
      </c>
      <c r="LE15" s="2" t="s">
        <v>697</v>
      </c>
      <c r="LF15" s="2" t="s">
        <v>709</v>
      </c>
      <c r="LG15" s="2" t="s">
        <v>697</v>
      </c>
      <c r="LH15" s="2" t="s">
        <v>709</v>
      </c>
      <c r="LI15" s="3" t="s">
        <v>697</v>
      </c>
      <c r="LJ15" s="2" t="s">
        <v>701</v>
      </c>
      <c r="LK15" s="2">
        <v>2014</v>
      </c>
      <c r="LL15" s="2">
        <v>10</v>
      </c>
      <c r="LM15" s="3" t="s">
        <v>795</v>
      </c>
      <c r="LN15" s="2">
        <v>3213150</v>
      </c>
      <c r="LO15" s="2" t="s">
        <v>698</v>
      </c>
      <c r="LP15" s="2">
        <v>29</v>
      </c>
      <c r="LQ15" s="14">
        <v>0.24909999999999999</v>
      </c>
      <c r="LR15" s="14">
        <v>9.7100000000000006E-2</v>
      </c>
      <c r="LS15" s="14">
        <v>0.26269999999999999</v>
      </c>
      <c r="LT15" s="14">
        <v>0.33800000000000002</v>
      </c>
      <c r="LU15" s="14">
        <v>4.48E-2</v>
      </c>
      <c r="LV15" s="14">
        <v>3.0000000000000001E-3</v>
      </c>
      <c r="LW15" s="14">
        <v>5.0000000000000001E-3</v>
      </c>
      <c r="LX15" s="2" t="s">
        <v>709</v>
      </c>
      <c r="LY15" s="2" t="s">
        <v>697</v>
      </c>
      <c r="LZ15" s="2" t="s">
        <v>697</v>
      </c>
      <c r="MA15" s="2" t="s">
        <v>697</v>
      </c>
      <c r="MB15" s="2" t="s">
        <v>697</v>
      </c>
      <c r="MC15" s="2" t="s">
        <v>697</v>
      </c>
      <c r="MD15" s="2" t="s">
        <v>697</v>
      </c>
      <c r="ME15" s="2" t="s">
        <v>769</v>
      </c>
      <c r="MF15" s="2" t="s">
        <v>711</v>
      </c>
      <c r="MG15" s="17" t="s">
        <v>796</v>
      </c>
      <c r="MH15" s="2" t="s">
        <v>709</v>
      </c>
      <c r="MI15" s="2" t="s">
        <v>697</v>
      </c>
      <c r="MJ15" s="2" t="s">
        <v>697</v>
      </c>
      <c r="MK15" s="2" t="s">
        <v>781</v>
      </c>
      <c r="ML15" s="17" t="s">
        <v>789</v>
      </c>
      <c r="MM15" s="2" t="s">
        <v>782</v>
      </c>
    </row>
  </sheetData>
  <autoFilter ref="A2:MM15" xr:uid="{0ECC351F-7009-48C5-AF3B-A8D5BA9F0009}">
    <sortState xmlns:xlrd2="http://schemas.microsoft.com/office/spreadsheetml/2017/richdata2" ref="A3:MM15">
      <sortCondition ref="B3:B15"/>
      <sortCondition ref="C3:C15"/>
    </sortState>
  </autoFilter>
  <sortState xmlns:xlrd2="http://schemas.microsoft.com/office/spreadsheetml/2017/richdata2" ref="A3:MM15">
    <sortCondition ref="B3:B15"/>
    <sortCondition ref="C3:C15"/>
  </sortState>
  <mergeCells count="1">
    <mergeCell ref="A1:C1"/>
  </mergeCells>
  <hyperlinks>
    <hyperlink ref="M13" r:id="rId1" display="www.emtu.sp.gov.br" xr:uid="{9B4E3495-1117-4C9D-AE42-7A928FB305E8}"/>
    <hyperlink ref="M11" r:id="rId2" xr:uid="{1B4EF357-C107-4B12-9D81-FB7E4DA8F5E9}"/>
    <hyperlink ref="M12" r:id="rId3" xr:uid="{26098DAE-14DA-452F-9B12-656E60EE7664}"/>
    <hyperlink ref="M15" r:id="rId4" xr:uid="{D1482FD1-6CC2-4976-A2FD-61B253E511C6}"/>
    <hyperlink ref="LG12" r:id="rId5" xr:uid="{6506C326-49CD-4566-939C-CCA5A1880D02}"/>
    <hyperlink ref="LI12" r:id="rId6" xr:uid="{00ABC818-A2A6-44A5-AC3F-C18A8FEE8C45}"/>
    <hyperlink ref="LI13" r:id="rId7" xr:uid="{9B87D814-8833-447F-BB0D-DB491B641B10}"/>
    <hyperlink ref="LI14" r:id="rId8" xr:uid="{6915F649-F81C-4F6E-AE79-DB478D4AD675}"/>
    <hyperlink ref="LM13" r:id="rId9" display="http://www.metro.sp.gov.br/pesquisa-od/index.aspx" xr:uid="{E6DA7EAA-502F-4290-B2A5-F3A37617BD1D}"/>
    <hyperlink ref="LM15" r:id="rId10" xr:uid="{23050156-C953-42CF-A42A-49A2E80041EB}"/>
    <hyperlink ref="LM12" r:id="rId11" xr:uid="{80873FB1-7BD1-405B-92BA-CEC01DD7107E}"/>
    <hyperlink ref="M14" r:id="rId12" xr:uid="{DCAF9931-389D-43E9-A5E7-7C29B0124864}"/>
    <hyperlink ref="M3" r:id="rId13" xr:uid="{B4CF29AD-C354-4AB4-BD7D-4C90D328BF49}"/>
    <hyperlink ref="M9" r:id="rId14" xr:uid="{57A10362-22FF-4225-A951-1A673C792EFB}"/>
    <hyperlink ref="LM9" r:id="rId15" xr:uid="{304866AF-B5DF-422A-8C35-36EE970322DC}"/>
    <hyperlink ref="LG10" r:id="rId16" xr:uid="{FC8F4D4C-E077-490C-86DA-48B7864603EA}"/>
    <hyperlink ref="LI10" r:id="rId17" xr:uid="{6A0EF916-AD2A-47FF-9965-98B8E3FBB73D}"/>
    <hyperlink ref="LM10" r:id="rId18" xr:uid="{4FD6F92B-E65B-4CD6-B180-A42B00BDD6BB}"/>
  </hyperlinks>
  <pageMargins left="0.78740157499999996" right="0.78740157499999996" top="0.984251969" bottom="0.984251969" header="0.4921259845" footer="0.4921259845"/>
  <pageSetup paperSize="9" orientation="portrait" r:id="rId19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Alves Ferreira Junior</dc:creator>
  <cp:lastModifiedBy>Claudio Alves Ferreira Junior</cp:lastModifiedBy>
  <dcterms:created xsi:type="dcterms:W3CDTF">2021-08-24T12:34:48Z</dcterms:created>
  <dcterms:modified xsi:type="dcterms:W3CDTF">2021-11-26T15:04:06Z</dcterms:modified>
</cp:coreProperties>
</file>